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tables/table1.xml" ContentType="application/vnd.openxmlformats-officedocument.spreadsheetml.table+xml"/>
  <ns0:Override PartName="/xl/workbook.xml" ContentType="application/vnd.openxmlformats-officedocument.spreadsheetml.sheet.main+xml"/>
  <ns0:Override PartName="/xl/slicerCaches/slicerCache1.xml" ContentType="application/vnd.ms-excel.slicerCache+xml"/>
  <ns0:Override PartName="/xl/drawings/drawing1.xml" ContentType="application/vnd.openxmlformats-officedocument.drawing+xml"/>
  <ns0:Override PartName="/xl/slicers/slicer1.xml" ContentType="application/vnd.ms-excel.slicer+xml"/>
</ns0: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Task type" sheetId="1" state="visible" r:id="rId1"/>
    <sheet name="Task type (2)" sheetId="2" state="hidden" r:id="rId2"/>
  </sheets>
  <definedNames>
    <definedName name="Slicer_WBS1">#N/A</definedName>
    <definedName name="_xlnm._FilterDatabase" localSheetId="0" hidden="1">'Task type'!$B$2:$H$275</definedName>
  </definedNames>
  <calcPr calcId="191029" fullCalcOnLoad="1"/>
</workbook>
</file>

<file path=xl/styles.xml><?xml version="1.0" encoding="utf-8"?>
<styleSheet xmlns="http://schemas.openxmlformats.org/spreadsheetml/2006/main">
  <numFmts count="1">
    <numFmt numFmtId="164" formatCode="[$-1060000]B2d/mm/yyyy;@"/>
  </numFmts>
  <fonts count="10">
    <font>
      <name val="Calibri"/>
      <family val="2"/>
      <color theme="1"/>
      <sz val="11"/>
      <scheme val="minor"/>
    </font>
    <font>
      <name val="Calibri"/>
      <family val="2"/>
      <color theme="1"/>
      <sz val="11"/>
      <scheme val="minor"/>
    </font>
    <font>
      <name val="Calibri"/>
      <charset val="178"/>
      <family val="2"/>
      <color theme="1"/>
      <sz val="11"/>
      <scheme val="minor"/>
    </font>
    <font>
      <name val="B Koodak"/>
      <charset val="178"/>
      <color theme="1"/>
      <sz val="8"/>
    </font>
    <font>
      <name val="B Koodak"/>
      <charset val="178"/>
      <sz val="8"/>
    </font>
    <font>
      <name val="B Koodak"/>
      <charset val="178"/>
      <color rgb="FFFF0000"/>
      <sz val="8"/>
    </font>
    <font>
      <name val="B Koodak"/>
      <charset val="178"/>
      <sz val="10"/>
    </font>
    <font>
      <name val="B Koodak"/>
      <charset val="178"/>
      <b val="1"/>
      <color theme="1"/>
      <sz val="8"/>
    </font>
    <font>
      <name val="B Koodak"/>
      <charset val="178"/>
      <b val="1"/>
      <color theme="1"/>
      <sz val="11"/>
    </font>
    <font>
      <name val="B Titr"/>
      <charset val="178"/>
      <b val="1"/>
      <color theme="0"/>
      <sz val="9"/>
    </font>
  </fonts>
  <fills count="11">
    <fill>
      <patternFill/>
    </fill>
    <fill>
      <patternFill patternType="gray125"/>
    </fill>
    <fill>
      <patternFill patternType="solid">
        <fgColor rgb="FFFFFF00"/>
        <bgColor indexed="64"/>
      </patternFill>
    </fill>
    <fill>
      <patternFill patternType="solid">
        <fgColor theme="7" tint="0.3999755851924192"/>
        <bgColor indexed="64"/>
      </patternFill>
    </fill>
    <fill>
      <patternFill patternType="solid">
        <fgColor theme="4" tint="0.5999938962981048"/>
        <bgColor indexed="64"/>
      </patternFill>
    </fill>
    <fill>
      <patternFill patternType="solid">
        <fgColor theme="2"/>
        <bgColor indexed="64"/>
      </patternFill>
    </fill>
    <fill>
      <patternFill patternType="solid">
        <fgColor theme="4" tint="-0.499984740745262"/>
        <bgColor indexed="64"/>
      </patternFill>
    </fill>
    <fill>
      <patternFill patternType="solid">
        <fgColor theme="3" tint="0.7999816888943144"/>
        <bgColor indexed="64"/>
      </patternFill>
    </fill>
    <fill>
      <patternFill patternType="solid">
        <fgColor theme="0" tint="-0.0499893185216834"/>
        <bgColor indexed="64"/>
      </patternFill>
    </fill>
    <fill>
      <patternFill patternType="solid">
        <fgColor theme="0"/>
        <bgColor indexed="64"/>
      </patternFill>
    </fill>
    <fill>
      <patternFill patternType="solid">
        <fgColor theme="0"/>
        <bgColor theme="4" tint="0.799981688894314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s>
  <cellStyleXfs count="3">
    <xf numFmtId="0" fontId="1" fillId="0" borderId="0"/>
    <xf numFmtId="164" fontId="2" fillId="0" borderId="0"/>
    <xf numFmtId="164" fontId="1" fillId="0" borderId="0"/>
  </cellStyleXfs>
  <cellXfs count="129">
    <xf numFmtId="0" fontId="0" fillId="0" borderId="0" pivotButton="0" quotePrefix="0" xfId="0"/>
    <xf numFmtId="164" fontId="3" fillId="0" borderId="0" pivotButton="0" quotePrefix="0" xfId="1"/>
    <xf numFmtId="2" fontId="3" fillId="0" borderId="0" applyAlignment="1" pivotButton="0" quotePrefix="0" xfId="1">
      <alignment horizontal="center" vertical="center"/>
    </xf>
    <xf numFmtId="164" fontId="1" fillId="0" borderId="0" pivotButton="0" quotePrefix="0" xfId="2"/>
    <xf numFmtId="164" fontId="3" fillId="0" borderId="0" applyAlignment="1" pivotButton="0" quotePrefix="0" xfId="1">
      <alignment horizontal="right" indent="1"/>
    </xf>
    <xf numFmtId="164" fontId="3" fillId="0" borderId="0" applyAlignment="1" pivotButton="0" quotePrefix="0" xfId="1">
      <alignment horizontal="center" vertical="center"/>
    </xf>
    <xf numFmtId="164" fontId="3" fillId="0" borderId="0" applyAlignment="1" pivotButton="0" quotePrefix="0" xfId="1">
      <alignment horizontal="center"/>
    </xf>
    <xf numFmtId="3" fontId="3" fillId="0" borderId="0" pivotButton="0" quotePrefix="0" xfId="1"/>
    <xf numFmtId="3" fontId="3" fillId="0" borderId="0" applyAlignment="1" pivotButton="0" quotePrefix="0" xfId="2">
      <alignment horizontal="center" vertical="center"/>
    </xf>
    <xf numFmtId="1" fontId="3" fillId="0" borderId="0" pivotButton="0" quotePrefix="0" xfId="1"/>
    <xf numFmtId="164" fontId="3" fillId="2" borderId="1" applyAlignment="1" pivotButton="0" quotePrefix="0" xfId="1">
      <alignment horizontal="right" vertical="center" indent="1"/>
    </xf>
    <xf numFmtId="3" fontId="3" fillId="2" borderId="1" applyAlignment="1" pivotButton="0" quotePrefix="0" xfId="1">
      <alignment horizontal="center" vertical="center"/>
    </xf>
    <xf numFmtId="1" fontId="3" fillId="2" borderId="1" applyAlignment="1" pivotButton="0" quotePrefix="0" xfId="1">
      <alignment horizontal="center" vertical="center"/>
    </xf>
    <xf numFmtId="164" fontId="3" fillId="0" borderId="1" pivotButton="0" quotePrefix="0" xfId="1"/>
    <xf numFmtId="164" fontId="3" fillId="0" borderId="1" applyAlignment="1" pivotButton="0" quotePrefix="0" xfId="1">
      <alignment horizontal="right" vertical="center" indent="1"/>
    </xf>
    <xf numFmtId="3" fontId="3" fillId="0" borderId="1" applyAlignment="1" pivotButton="0" quotePrefix="0" xfId="1">
      <alignment horizontal="center" vertical="center"/>
    </xf>
    <xf numFmtId="1" fontId="3" fillId="0" borderId="1" applyAlignment="1" pivotButton="0" quotePrefix="0" xfId="1">
      <alignment horizontal="center" vertical="center"/>
    </xf>
    <xf numFmtId="1" fontId="3" fillId="0" borderId="1" pivotButton="0" quotePrefix="0" xfId="1"/>
    <xf numFmtId="164" fontId="3" fillId="0" borderId="1" applyAlignment="1" pivotButton="0" quotePrefix="0" xfId="1">
      <alignment horizontal="right" vertical="center" indent="1"/>
    </xf>
    <xf numFmtId="3" fontId="3" fillId="0" borderId="1" applyAlignment="1" pivotButton="0" quotePrefix="0" xfId="1">
      <alignment horizontal="center" vertical="center"/>
    </xf>
    <xf numFmtId="164" fontId="3" fillId="0" borderId="1" applyAlignment="1" pivotButton="0" quotePrefix="0" xfId="1">
      <alignment horizontal="right" vertical="center" indent="1" readingOrder="2"/>
    </xf>
    <xf numFmtId="1" fontId="3" fillId="0" borderId="1" applyAlignment="1" pivotButton="0" quotePrefix="0" xfId="1">
      <alignment horizontal="center" vertical="center"/>
    </xf>
    <xf numFmtId="3" fontId="4" fillId="0" borderId="1" applyAlignment="1" pivotButton="0" quotePrefix="0" xfId="1">
      <alignment horizontal="center" vertical="center" wrapText="1" readingOrder="2"/>
    </xf>
    <xf numFmtId="164" fontId="3" fillId="3" borderId="1" applyAlignment="1" pivotButton="0" quotePrefix="0" xfId="2">
      <alignment horizontal="right" vertical="center" indent="1"/>
    </xf>
    <xf numFmtId="164" fontId="1" fillId="3" borderId="1" applyAlignment="1" pivotButton="0" quotePrefix="0" xfId="2">
      <alignment horizontal="center"/>
    </xf>
    <xf numFmtId="3" fontId="1" fillId="3" borderId="1" applyAlignment="1" pivotButton="0" quotePrefix="0" xfId="2">
      <alignment horizontal="center" vertical="center"/>
    </xf>
    <xf numFmtId="1" fontId="1" fillId="3" borderId="1" applyAlignment="1" pivotButton="0" quotePrefix="0" xfId="2">
      <alignment horizontal="center"/>
    </xf>
    <xf numFmtId="164" fontId="3" fillId="0" borderId="1" applyAlignment="1" pivotButton="0" quotePrefix="0" xfId="2">
      <alignment horizontal="right" vertical="center" indent="1"/>
    </xf>
    <xf numFmtId="3" fontId="3" fillId="0" borderId="1" applyAlignment="1" pivotButton="0" quotePrefix="0" xfId="2">
      <alignment horizontal="center" vertical="center"/>
    </xf>
    <xf numFmtId="1" fontId="3" fillId="0" borderId="1" applyAlignment="1" pivotButton="0" quotePrefix="0" xfId="2">
      <alignment horizontal="center" vertical="center"/>
    </xf>
    <xf numFmtId="3" fontId="3" fillId="4" borderId="1" applyAlignment="1" pivotButton="0" quotePrefix="0" xfId="2">
      <alignment horizontal="center" vertical="center"/>
    </xf>
    <xf numFmtId="164" fontId="3" fillId="0" borderId="1" applyAlignment="1" pivotButton="0" quotePrefix="0" xfId="1">
      <alignment horizontal="right" vertical="center" indent="1"/>
    </xf>
    <xf numFmtId="164" fontId="4" fillId="0" borderId="1" applyAlignment="1" pivotButton="0" quotePrefix="0" xfId="2">
      <alignment horizontal="right" vertical="center" indent="1"/>
    </xf>
    <xf numFmtId="1" fontId="4" fillId="0" borderId="1" applyAlignment="1" pivotButton="0" quotePrefix="0" xfId="2">
      <alignment horizontal="center" vertical="center"/>
    </xf>
    <xf numFmtId="164" fontId="3" fillId="0" borderId="1" applyAlignment="1" pivotButton="0" quotePrefix="0" xfId="1">
      <alignment horizontal="right" indent="1"/>
    </xf>
    <xf numFmtId="164" fontId="3" fillId="0" borderId="1" applyAlignment="1" pivotButton="0" quotePrefix="0" xfId="2">
      <alignment horizontal="right" vertical="center" indent="1"/>
    </xf>
    <xf numFmtId="164" fontId="3" fillId="0" borderId="1" applyAlignment="1" pivotButton="0" quotePrefix="0" xfId="2">
      <alignment horizontal="right" vertical="center" indent="2"/>
    </xf>
    <xf numFmtId="0" fontId="3" fillId="0" borderId="1" applyAlignment="1" pivotButton="0" quotePrefix="0" xfId="2">
      <alignment horizontal="right" vertical="center" indent="1"/>
    </xf>
    <xf numFmtId="164" fontId="3" fillId="2" borderId="2" applyAlignment="1" pivotButton="0" quotePrefix="0" xfId="1">
      <alignment horizontal="right" vertical="center" indent="1"/>
    </xf>
    <xf numFmtId="164" fontId="3" fillId="0" borderId="2" applyAlignment="1" pivotButton="0" quotePrefix="0" xfId="1">
      <alignment horizontal="right" vertical="center" indent="1"/>
    </xf>
    <xf numFmtId="164" fontId="3" fillId="0" borderId="2" applyAlignment="1" pivotButton="0" quotePrefix="0" xfId="1">
      <alignment horizontal="right" vertical="center" indent="1"/>
    </xf>
    <xf numFmtId="164" fontId="4" fillId="0" borderId="2" applyAlignment="1" pivotButton="0" quotePrefix="0" xfId="1">
      <alignment horizontal="right" vertical="center" indent="1"/>
    </xf>
    <xf numFmtId="164" fontId="3" fillId="3" borderId="2" applyAlignment="1" pivotButton="0" quotePrefix="0" xfId="2">
      <alignment horizontal="right" vertical="center" indent="1"/>
    </xf>
    <xf numFmtId="164" fontId="3" fillId="0" borderId="2" applyAlignment="1" pivotButton="0" quotePrefix="0" xfId="2">
      <alignment horizontal="right" vertical="center" indent="1"/>
    </xf>
    <xf numFmtId="164" fontId="5" fillId="0" borderId="2" applyAlignment="1" pivotButton="0" quotePrefix="0" xfId="2">
      <alignment horizontal="right" vertical="center" indent="1"/>
    </xf>
    <xf numFmtId="164" fontId="3" fillId="0" borderId="2" applyAlignment="1" pivotButton="0" quotePrefix="0" xfId="1">
      <alignment horizontal="right" vertical="center" indent="1"/>
    </xf>
    <xf numFmtId="164" fontId="4" fillId="0" borderId="2" applyAlignment="1" pivotButton="0" quotePrefix="0" xfId="2">
      <alignment horizontal="right" vertical="center" indent="1"/>
    </xf>
    <xf numFmtId="164" fontId="3" fillId="0" borderId="2" applyAlignment="1" pivotButton="0" quotePrefix="0" xfId="1">
      <alignment horizontal="right" indent="1"/>
    </xf>
    <xf numFmtId="164" fontId="3" fillId="0" borderId="2" applyAlignment="1" pivotButton="0" quotePrefix="0" xfId="2">
      <alignment horizontal="right" vertical="center" indent="1"/>
    </xf>
    <xf numFmtId="0" fontId="3" fillId="0" borderId="2" applyAlignment="1" pivotButton="0" quotePrefix="0" xfId="2">
      <alignment horizontal="right" vertical="center" indent="1"/>
    </xf>
    <xf numFmtId="164" fontId="3" fillId="0" borderId="3" pivotButton="0" quotePrefix="0" xfId="1"/>
    <xf numFmtId="1" fontId="3" fillId="0" borderId="3" pivotButton="0" quotePrefix="0" xfId="1"/>
    <xf numFmtId="164" fontId="3" fillId="0" borderId="3" applyAlignment="1" pivotButton="0" quotePrefix="0" xfId="1">
      <alignment horizontal="center" vertical="center"/>
    </xf>
    <xf numFmtId="164" fontId="3" fillId="2" borderId="5" applyAlignment="1" pivotButton="0" quotePrefix="0" xfId="1">
      <alignment horizontal="right" vertical="center" indent="1"/>
    </xf>
    <xf numFmtId="164" fontId="3" fillId="0" borderId="7" applyAlignment="1" pivotButton="0" quotePrefix="0" xfId="1">
      <alignment horizontal="right" indent="1"/>
    </xf>
    <xf numFmtId="164" fontId="3" fillId="3" borderId="8" applyAlignment="1" pivotButton="0" quotePrefix="0" xfId="2">
      <alignment horizontal="right" vertical="center" indent="1"/>
    </xf>
    <xf numFmtId="164" fontId="3" fillId="0" borderId="8" applyAlignment="1" pivotButton="0" quotePrefix="0" xfId="2">
      <alignment horizontal="right" vertical="center" indent="1"/>
    </xf>
    <xf numFmtId="164" fontId="3" fillId="0" borderId="8" applyAlignment="1" pivotButton="0" quotePrefix="0" xfId="2">
      <alignment horizontal="right" vertical="center" indent="1"/>
    </xf>
    <xf numFmtId="3" fontId="3" fillId="0" borderId="8" applyAlignment="1" pivotButton="0" quotePrefix="0" xfId="2">
      <alignment horizontal="center" vertical="center"/>
    </xf>
    <xf numFmtId="1" fontId="3" fillId="0" borderId="8" applyAlignment="1" pivotButton="0" quotePrefix="0" xfId="1">
      <alignment horizontal="center"/>
    </xf>
    <xf numFmtId="164" fontId="3" fillId="0" borderId="9" pivotButton="0" quotePrefix="0" xfId="1"/>
    <xf numFmtId="164" fontId="6" fillId="5" borderId="4" applyAlignment="1" pivotButton="0" quotePrefix="0" xfId="1">
      <alignment horizontal="center" vertical="center" wrapText="1"/>
    </xf>
    <xf numFmtId="164" fontId="6" fillId="5" borderId="5" applyAlignment="1" pivotButton="0" quotePrefix="0" xfId="1">
      <alignment horizontal="center" vertical="center" wrapText="1"/>
    </xf>
    <xf numFmtId="3" fontId="6" fillId="5" borderId="5" applyAlignment="1" pivotButton="0" quotePrefix="0" xfId="1">
      <alignment horizontal="center" vertical="center" wrapText="1"/>
    </xf>
    <xf numFmtId="1" fontId="6" fillId="5" borderId="5" applyAlignment="1" pivotButton="0" quotePrefix="0" xfId="1">
      <alignment horizontal="center" vertical="center" wrapText="1"/>
    </xf>
    <xf numFmtId="1" fontId="6" fillId="5" borderId="6" applyAlignment="1" pivotButton="0" quotePrefix="0" xfId="1">
      <alignment horizontal="center" vertical="center" wrapText="1"/>
    </xf>
    <xf numFmtId="164" fontId="3" fillId="0" borderId="1" applyAlignment="1" pivotButton="0" quotePrefix="0" xfId="2">
      <alignment horizontal="center" vertical="center"/>
    </xf>
    <xf numFmtId="0" fontId="0" fillId="0" borderId="0" applyAlignment="1" pivotButton="0" quotePrefix="0" xfId="0">
      <alignment horizontal="center"/>
    </xf>
    <xf numFmtId="1" fontId="3" fillId="0" borderId="0" applyAlignment="1" pivotButton="0" quotePrefix="0" xfId="1">
      <alignment horizontal="center"/>
    </xf>
    <xf numFmtId="3" fontId="3" fillId="0" borderId="0" applyAlignment="1" pivotButton="0" quotePrefix="0" xfId="1">
      <alignment horizontal="center"/>
    </xf>
    <xf numFmtId="164" fontId="3" fillId="9" borderId="9" applyAlignment="1" pivotButton="0" quotePrefix="0" xfId="1">
      <alignment horizontal="right" vertical="center" indent="1"/>
    </xf>
    <xf numFmtId="3" fontId="3" fillId="9" borderId="9" applyAlignment="1" pivotButton="0" quotePrefix="0" xfId="1">
      <alignment horizontal="center" vertical="center"/>
    </xf>
    <xf numFmtId="1" fontId="3" fillId="9" borderId="9" applyAlignment="1" pivotButton="0" quotePrefix="0" xfId="1">
      <alignment horizontal="center" vertical="center"/>
    </xf>
    <xf numFmtId="1" fontId="3" fillId="9" borderId="8" applyAlignment="1" pivotButton="0" quotePrefix="0" xfId="1">
      <alignment horizontal="center"/>
    </xf>
    <xf numFmtId="164" fontId="3" fillId="10" borderId="9" applyAlignment="1" pivotButton="0" quotePrefix="0" xfId="1">
      <alignment horizontal="right" vertical="center" indent="1"/>
    </xf>
    <xf numFmtId="3" fontId="3" fillId="10" borderId="9" applyAlignment="1" pivotButton="0" quotePrefix="0" xfId="1">
      <alignment horizontal="center" vertical="center"/>
    </xf>
    <xf numFmtId="1" fontId="3" fillId="10" borderId="9" applyAlignment="1" pivotButton="0" quotePrefix="0" xfId="1">
      <alignment horizontal="center" vertical="center"/>
    </xf>
    <xf numFmtId="1" fontId="3" fillId="10" borderId="8" applyAlignment="1" pivotButton="0" quotePrefix="0" xfId="1">
      <alignment horizontal="center"/>
    </xf>
    <xf numFmtId="164" fontId="9" fillId="6" borderId="9" applyAlignment="1" pivotButton="0" quotePrefix="0" xfId="1">
      <alignment horizontal="center" vertical="center" wrapText="1"/>
    </xf>
    <xf numFmtId="164" fontId="9" fillId="6" borderId="9" applyAlignment="1" pivotButton="0" quotePrefix="0" xfId="1">
      <alignment horizontal="right" vertical="center" indent="1"/>
    </xf>
    <xf numFmtId="3" fontId="9" fillId="6" borderId="9" applyAlignment="1" pivotButton="0" quotePrefix="0" xfId="1">
      <alignment horizontal="center" vertical="center" wrapText="1"/>
    </xf>
    <xf numFmtId="1" fontId="9" fillId="6" borderId="9" applyAlignment="1" pivotButton="0" quotePrefix="0" xfId="1">
      <alignment horizontal="center" vertical="center" wrapText="1"/>
    </xf>
    <xf numFmtId="1" fontId="9" fillId="6" borderId="8" applyAlignment="1" pivotButton="0" quotePrefix="0" xfId="1">
      <alignment horizontal="center" vertical="center" wrapText="1"/>
    </xf>
    <xf numFmtId="164" fontId="3" fillId="10" borderId="9" applyAlignment="1" pivotButton="0" quotePrefix="0" xfId="1">
      <alignment horizontal="right" vertical="center" indent="1" readingOrder="2"/>
    </xf>
    <xf numFmtId="164" fontId="3" fillId="9" borderId="9" applyAlignment="1" pivotButton="0" quotePrefix="0" xfId="1">
      <alignment horizontal="right" vertical="center" indent="1" readingOrder="2"/>
    </xf>
    <xf numFmtId="164" fontId="4" fillId="10" borderId="9" applyAlignment="1" pivotButton="0" quotePrefix="0" xfId="1">
      <alignment horizontal="right" vertical="center" indent="1"/>
    </xf>
    <xf numFmtId="3" fontId="4" fillId="10" borderId="9" applyAlignment="1" pivotButton="0" quotePrefix="0" xfId="1">
      <alignment horizontal="center" vertical="center" wrapText="1" readingOrder="2"/>
    </xf>
    <xf numFmtId="164" fontId="4" fillId="9" borderId="9" applyAlignment="1" pivotButton="0" quotePrefix="0" xfId="1">
      <alignment horizontal="right" vertical="center" indent="1"/>
    </xf>
    <xf numFmtId="3" fontId="4" fillId="9" borderId="9" applyAlignment="1" pivotButton="0" quotePrefix="0" xfId="1">
      <alignment horizontal="center" vertical="center" wrapText="1" readingOrder="2"/>
    </xf>
    <xf numFmtId="164" fontId="3" fillId="10" borderId="9" applyAlignment="1" pivotButton="0" quotePrefix="0" xfId="2">
      <alignment horizontal="right" vertical="center" indent="1"/>
    </xf>
    <xf numFmtId="164" fontId="3" fillId="9" borderId="9" applyAlignment="1" pivotButton="0" quotePrefix="0" xfId="2">
      <alignment horizontal="right" vertical="center" indent="1"/>
    </xf>
    <xf numFmtId="3" fontId="3" fillId="10" borderId="9" applyAlignment="1" pivotButton="0" quotePrefix="0" xfId="2">
      <alignment horizontal="center" vertical="center"/>
    </xf>
    <xf numFmtId="1" fontId="3" fillId="10" borderId="9" applyAlignment="1" pivotButton="0" quotePrefix="0" xfId="2">
      <alignment horizontal="center" vertical="center"/>
    </xf>
    <xf numFmtId="164" fontId="5" fillId="10" borderId="9" applyAlignment="1" pivotButton="0" quotePrefix="0" xfId="2">
      <alignment horizontal="right" vertical="center" indent="1"/>
    </xf>
    <xf numFmtId="3" fontId="3" fillId="9" borderId="9" applyAlignment="1" pivotButton="0" quotePrefix="0" xfId="2">
      <alignment horizontal="center" vertical="center"/>
    </xf>
    <xf numFmtId="1" fontId="3" fillId="9" borderId="9" applyAlignment="1" pivotButton="0" quotePrefix="0" xfId="2">
      <alignment horizontal="center" vertical="center"/>
    </xf>
    <xf numFmtId="164" fontId="5" fillId="9" borderId="9" applyAlignment="1" pivotButton="0" quotePrefix="0" xfId="2">
      <alignment horizontal="right" vertical="center" indent="1"/>
    </xf>
    <xf numFmtId="164" fontId="3" fillId="10" borderId="9" applyAlignment="1" pivotButton="0" quotePrefix="0" xfId="1">
      <alignment horizontal="right" indent="1"/>
    </xf>
    <xf numFmtId="164" fontId="3" fillId="9" borderId="9" applyAlignment="1" pivotButton="0" quotePrefix="0" xfId="1">
      <alignment horizontal="right" indent="1"/>
    </xf>
    <xf numFmtId="164" fontId="3" fillId="9" borderId="9" applyAlignment="1" pivotButton="0" quotePrefix="0" xfId="2">
      <alignment horizontal="right" vertical="center" indent="2"/>
    </xf>
    <xf numFmtId="164" fontId="3" fillId="10" borderId="9" applyAlignment="1" pivotButton="0" quotePrefix="0" xfId="2">
      <alignment horizontal="right" vertical="center" indent="2"/>
    </xf>
    <xf numFmtId="0" fontId="3" fillId="10" borderId="9" applyAlignment="1" pivotButton="0" quotePrefix="0" xfId="2">
      <alignment horizontal="right" vertical="center" indent="1"/>
    </xf>
    <xf numFmtId="164" fontId="3" fillId="10" borderId="8" applyAlignment="1" pivotButton="0" quotePrefix="0" xfId="1">
      <alignment horizontal="center" vertical="center"/>
    </xf>
    <xf numFmtId="0" fontId="3" fillId="9" borderId="9" applyAlignment="1" pivotButton="0" quotePrefix="0" xfId="2">
      <alignment horizontal="right" vertical="center" indent="1"/>
    </xf>
    <xf numFmtId="164" fontId="3" fillId="9" borderId="8" applyAlignment="1" pivotButton="0" quotePrefix="0" xfId="1">
      <alignment horizontal="center" vertical="center"/>
    </xf>
    <xf numFmtId="164" fontId="3" fillId="10" borderId="8" applyAlignment="1" pivotButton="0" quotePrefix="0" xfId="1">
      <alignment horizontal="center"/>
    </xf>
    <xf numFmtId="164" fontId="3" fillId="9" borderId="8" applyAlignment="1" pivotButton="0" quotePrefix="0" xfId="1">
      <alignment horizontal="center"/>
    </xf>
    <xf numFmtId="164" fontId="3" fillId="10" borderId="9" pivotButton="0" quotePrefix="0" xfId="1"/>
    <xf numFmtId="164" fontId="3" fillId="9" borderId="9" pivotButton="0" quotePrefix="0" xfId="1"/>
    <xf numFmtId="164" fontId="3" fillId="9" borderId="3" applyAlignment="1" pivotButton="0" quotePrefix="0" xfId="2">
      <alignment horizontal="right" vertical="center" indent="1"/>
    </xf>
    <xf numFmtId="164" fontId="3" fillId="10" borderId="3" applyAlignment="1" pivotButton="0" quotePrefix="0" xfId="2">
      <alignment horizontal="right" vertical="center" indent="1"/>
    </xf>
    <xf numFmtId="3" fontId="3" fillId="10" borderId="3" applyAlignment="1" pivotButton="0" quotePrefix="0" xfId="2">
      <alignment horizontal="center" vertical="center"/>
    </xf>
    <xf numFmtId="1" fontId="3" fillId="10" borderId="3" applyAlignment="1" pivotButton="0" quotePrefix="0" xfId="1">
      <alignment horizontal="center"/>
    </xf>
    <xf numFmtId="164" fontId="3" fillId="10" borderId="1" applyAlignment="1" pivotButton="0" quotePrefix="0" xfId="1">
      <alignment horizontal="center"/>
    </xf>
    <xf numFmtId="164" fontId="5" fillId="10" borderId="9" applyAlignment="1" pivotButton="0" quotePrefix="0" xfId="1">
      <alignment horizontal="right" indent="1"/>
    </xf>
    <xf numFmtId="164" fontId="5" fillId="9" borderId="9" applyAlignment="1" pivotButton="0" quotePrefix="0" xfId="1">
      <alignment horizontal="right" indent="1"/>
    </xf>
    <xf numFmtId="164" fontId="5" fillId="9" borderId="9" applyAlignment="1" pivotButton="0" quotePrefix="0" xfId="1">
      <alignment horizontal="right" vertical="center" indent="1"/>
    </xf>
    <xf numFmtId="164" fontId="5" fillId="10" borderId="9" applyAlignment="1" pivotButton="0" quotePrefix="0" xfId="1">
      <alignment horizontal="right" vertical="center" indent="1"/>
    </xf>
    <xf numFmtId="164" fontId="5" fillId="10" borderId="3" applyAlignment="1" pivotButton="0" quotePrefix="0" xfId="1">
      <alignment horizontal="right" indent="1"/>
    </xf>
    <xf numFmtId="164" fontId="8" fillId="7" borderId="3" applyAlignment="1" pivotButton="0" quotePrefix="0" xfId="1">
      <alignment horizontal="center" vertical="center" wrapText="1"/>
    </xf>
    <xf numFmtId="164" fontId="8" fillId="7" borderId="10" applyAlignment="1" pivotButton="0" quotePrefix="0" xfId="1">
      <alignment horizontal="center" vertical="center" wrapText="1"/>
    </xf>
    <xf numFmtId="164" fontId="8" fillId="7" borderId="2" applyAlignment="1" pivotButton="0" quotePrefix="0" xfId="1">
      <alignment horizontal="center" vertical="center" wrapText="1"/>
    </xf>
    <xf numFmtId="164" fontId="7" fillId="8" borderId="3" applyAlignment="1" pivotButton="0" quotePrefix="0" xfId="1">
      <alignment horizontal="center" vertical="center"/>
    </xf>
    <xf numFmtId="164" fontId="7" fillId="8" borderId="10" applyAlignment="1" pivotButton="0" quotePrefix="0" xfId="1">
      <alignment horizontal="center" vertical="center"/>
    </xf>
    <xf numFmtId="164" fontId="7" fillId="8" borderId="2" applyAlignment="1" pivotButton="0" quotePrefix="0" xfId="1">
      <alignment horizontal="center" vertical="center"/>
    </xf>
    <xf numFmtId="164" fontId="8" fillId="7" borderId="1" applyAlignment="1" pivotButton="0" quotePrefix="0" xfId="1">
      <alignment horizontal="center" vertical="center" wrapText="1"/>
    </xf>
    <xf numFmtId="0" fontId="0" fillId="0" borderId="10" pivotButton="0" quotePrefix="0" xfId="0"/>
    <xf numFmtId="0" fontId="0" fillId="0" borderId="2" pivotButton="0" quotePrefix="0" xfId="0"/>
    <xf numFmtId="164" fontId="7" fillId="8" borderId="1" applyAlignment="1" pivotButton="0" quotePrefix="0" xfId="1">
      <alignment horizontal="center" vertical="center"/>
    </xf>
  </cellXfs>
  <cellStyles count="3">
    <cellStyle name="Normal" xfId="0" builtinId="0"/>
    <cellStyle name="Normal 3 2" xfId="1"/>
    <cellStyle name="Normal 4" xfId="2"/>
  </cellStyles>
  <dxfs count="9">
    <dxf>
      <font>
        <name val="B Koodak"/>
        <charset val="178"/>
        <strike val="0"/>
        <outline val="0"/>
        <shadow val="0"/>
        <condense val="0"/>
        <color theme="1"/>
        <extend val="0"/>
        <sz val="8"/>
        <vertAlign val="baseline"/>
      </font>
      <alignment horizontal="center" vertical="center"/>
      <border>
        <left style="thin">
          <color indexed="64"/>
        </left>
        <right/>
        <top style="thin">
          <color indexed="64"/>
        </top>
        <bottom style="thin">
          <color indexed="64"/>
        </bottom>
        <vertical/>
        <horizontal/>
      </border>
    </dxf>
    <dxf>
      <font>
        <name val="B Koodak"/>
        <charset val="178"/>
        <strike val="0"/>
        <outline val="0"/>
        <shadow val="0"/>
        <condense val="0"/>
        <color theme="1"/>
        <extend val="0"/>
        <sz val="8"/>
        <vertAlign val="baseline"/>
      </font>
      <numFmt numFmtId="1" formatCode="0"/>
      <alignment horizontal="center" vertical="center"/>
      <border>
        <left style="thin">
          <color indexed="64"/>
        </left>
        <right style="thin">
          <color indexed="64"/>
        </right>
        <top style="thin">
          <color indexed="64"/>
        </top>
        <bottom style="thin">
          <color indexed="64"/>
        </bottom>
        <vertical/>
        <horizontal/>
      </border>
    </dxf>
    <dxf>
      <font>
        <name val="B Koodak"/>
        <charset val="178"/>
        <strike val="0"/>
        <outline val="0"/>
        <shadow val="0"/>
        <condense val="0"/>
        <color theme="1"/>
        <extend val="0"/>
        <sz val="8"/>
        <vertAlign val="baseline"/>
      </font>
      <numFmt numFmtId="3" formatCode="#,##0"/>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dxf>
    <dxf>
      <font>
        <name val="B Koodak"/>
        <charset val="178"/>
        <strike val="0"/>
        <outline val="0"/>
        <shadow val="0"/>
        <condense val="0"/>
        <color theme="1"/>
        <extend val="0"/>
        <sz val="8"/>
        <vertAlign val="baseline"/>
      </font>
      <numFmt numFmtId="164" formatCode="[$-1060000]B2d/mm/yyyy;@"/>
      <fill>
        <patternFill>
          <fgColor indexed="64"/>
          <bgColor indexed="65"/>
        </patternFill>
      </fill>
      <alignment horizontal="right" vertical="center" indent="1"/>
      <border>
        <left style="thin">
          <color indexed="64"/>
        </left>
        <right style="thin">
          <color indexed="64"/>
        </right>
        <top style="thin">
          <color indexed="64"/>
        </top>
        <bottom style="thin">
          <color indexed="64"/>
        </bottom>
        <vertical/>
        <horizontal/>
      </border>
    </dxf>
    <dxf>
      <font>
        <name val="B Koodak"/>
        <charset val="178"/>
        <strike val="0"/>
        <outline val="0"/>
        <shadow val="0"/>
        <condense val="0"/>
        <color theme="1"/>
        <extend val="0"/>
        <sz val="8"/>
        <vertAlign val="baseline"/>
      </font>
      <border>
        <left style="thin">
          <color indexed="64"/>
        </left>
        <right style="thin">
          <color indexed="64"/>
        </right>
        <top style="thin">
          <color indexed="64"/>
        </top>
        <bottom style="thin">
          <color indexed="64"/>
        </bottom>
        <vertical/>
        <horizontal/>
      </border>
    </dxf>
    <dxf>
      <font>
        <name val="B Koodak"/>
        <charset val="178"/>
        <strike val="0"/>
        <outline val="0"/>
        <shadow val="0"/>
        <condense val="0"/>
        <color theme="1"/>
        <extend val="0"/>
        <sz val="8"/>
        <vertAlign val="baseline"/>
      </font>
      <fill>
        <patternFill patternType="solid">
          <fgColor indexed="64"/>
          <bgColor theme="7" tint="0.3999755851924192"/>
        </patternFill>
      </fill>
      <alignment horizontal="right" vertical="center" indent="1"/>
      <border>
        <left style="thin">
          <color indexed="64"/>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ns0:Relationships xmlns:ns0="http://schemas.openxmlformats.org/package/2006/relationships"><ns0:Relationship Type="http://schemas.openxmlformats.org/officeDocument/2006/relationships/worksheet" Target="/xl/worksheets/sheet1.xml" Id="rId1" /><ns0:Relationship Type="http://schemas.openxmlformats.org/officeDocument/2006/relationships/worksheet" Target="/xl/worksheets/sheet2.xml" Id="rId2" /><ns0:Relationship Type="http://schemas.openxmlformats.org/officeDocument/2006/relationships/styles" Target="styles.xml" Id="rId3" /><ns0:Relationship Type="http://schemas.openxmlformats.org/officeDocument/2006/relationships/theme" Target="theme/theme1.xml" Id="rId4" /><ns0:Relationship Id="rId3" Type="http://schemas.microsoft.com/office/2007/relationships/slicerCache" Target="slicerCaches/slicerCache1.xml" /></ns0:Relationships>
</file>

<file path=xl/drawings/drawing1.xml><?xml version="1.0" encoding="utf-8"?>
<xdr:wsDr xmlns:xdr="http://schemas.openxmlformats.org/drawingml/2006/spreadsheetDrawing" xmlns:a="http://schemas.openxmlformats.org/drawingml/2006/main">
  <xdr:twoCellAnchor editAs="absolute">
    <xdr:from>
      <xdr:col>7</xdr:col>
      <xdr:colOff>492370</xdr:colOff>
      <xdr:row>0</xdr:row>
      <xdr:rowOff>168813</xdr:rowOff>
    </xdr:from>
    <xdr:to>
      <xdr:col>15</xdr:col>
      <xdr:colOff>105508</xdr:colOff>
      <xdr:row>18</xdr:row>
      <xdr:rowOff>168813</xdr:rowOff>
    </xdr:to>
    <mc:AlternateContent xmlns:mc="http://schemas.openxmlformats.org/markup-compatibility/2006" xmlns:sle15="http://schemas.microsoft.com/office/drawing/2012/slicer">
      <mc:Choice Requires="sle15">
        <xdr:graphicFrame macro="">
          <xdr:nvGraphicFramePr>
            <xdr:cNvPr id="2" name="WBS 1">
              <a:extLst>
                <a:ext uri="{FF2B5EF4-FFF2-40B4-BE49-F238E27FC236}">
                  <a16:creationId xmlns:a16="http://schemas.microsoft.com/office/drawing/2014/main" id="{295E64ED-7D67-40DB-9CF3-8769EB6DAA41}"/>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WBS 1"/>
            </a:graphicData>
          </a:graphic>
        </xdr:graphicFrame>
      </mc:Choice>
      <mc:Fallback xmlns="">
        <xdr:sp macro="" textlink="">
          <xdr:nvSpPr>
            <xdr:cNvPr id="0" name=""/>
            <xdr:cNvSpPr>
              <a:spLocks noTextEdit="1"/>
            </xdr:cNvSpPr>
          </xdr:nvSpPr>
          <xdr:spPr>
            <a:xfrm>
              <a:off x="9978436892" y="168813"/>
              <a:ext cx="4489938" cy="38766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BS1" xr10:uid="{91B7DA64-5C0A-4381-924C-BAF795DF8188}" sourceName="WBS">
  <extLst>
    <x:ext xmlns:x15="http://schemas.microsoft.com/office/spreadsheetml/2010/11/main" uri="{2F2917AC-EB37-4324-AD4E-5DD8C200BD13}">
      <x15:tableSlicerCache tableId="2" column="2" sortOrder="descending"/>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BS 1" xr10:uid="{F260583E-41D7-44FC-9538-457FE8002936}" cache="Slicer_WBS1" caption="WBS" columnCount="3" rowHeight="2417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D65523-0CBD-45B7-8173-DEA6A7935B59}" name="Table13" displayName="Table13" ref="A1:G362" totalsRowShown="0" headerRowBorderDxfId="8" tableBorderDxfId="7" totalsRowBorderDxfId="6">
  <autoFilter ref="A1:G362" xr:uid="{8321093E-D330-40B3-A7A9-A6CD02505DDA}"/>
  <tableColumns count="7">
    <tableColumn id="1" xr3:uid="{D6889EA5-973C-475D-9909-C67E8EBD7A6B}" name="شرح آیتم"/>
    <tableColumn id="2" xr3:uid="{066AB6EE-E0F0-4C64-B69D-B33E3D341911}" name="WBS" dataDxfId="5" dataCellStyle="Normal 4"/>
    <tableColumn id="4" xr3:uid="{D4D52165-4F07-4405-99F0-6BDD17CA259C}" name="اکیپ" dataDxfId="4" dataCellStyle="Normal 3 2"/>
    <tableColumn id="3" xr3:uid="{35C6D76D-9C23-469F-BB4E-68E226D45165}" name="واحد پایش" dataDxfId="3" dataCellStyle="Normal 4"/>
    <tableColumn id="5" xr3:uid="{B7D0EDF9-AF3D-40C4-BEF4-CB908FB601A1}" name="راندمان" dataDxfId="2" dataCellStyle="Normal 4"/>
    <tableColumn id="6" xr3:uid="{E1E8EF6D-EAD2-4DD5-A05C-9EB265F3BE47}" name="تعداد نفر اکیپ" dataDxfId="1" dataCellStyle="Normal 3 2"/>
    <tableColumn id="7" xr3:uid="{25A8D2A3-A239-4611-91DE-CEEDE079FE4F}" name="راندمان هرنفر" dataDxfId="0" dataCellStyle="Normal 3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ns0:Relationships xmlns:ns0="http://schemas.openxmlformats.org/package/2006/relationships"><ns0:Relationship Type="http://schemas.openxmlformats.org/officeDocument/2006/relationships/table" Target="/xl/tables/table1.xml" Id="rId1" /><ns0:Relationship Id="rId3" Type="http://schemas.openxmlformats.org/officeDocument/2006/relationships/table" Target="../tables/table1.xml" /><ns0:Relationship Id="rId2" Type="http://schemas.openxmlformats.org/officeDocument/2006/relationships/drawing" Target="../drawings/drawing1.xml" /></ns0:Relationships>
</file>

<file path=xl/worksheets/sheet1.xml><?xml version="1.0" encoding="utf-8"?>
<worksheet xmlns="http://schemas.openxmlformats.org/spreadsheetml/2006/main">
  <sheetPr>
    <outlinePr summaryBelow="1" summaryRight="1"/>
    <pageSetUpPr/>
  </sheetPr>
  <dimension ref="B2:K295"/>
  <sheetViews>
    <sheetView showGridLines="0" rightToLeft="1" tabSelected="1" topLeftCell="A12" zoomScale="142" zoomScaleNormal="142" workbookViewId="0">
      <selection activeCell="D113" sqref="D113"/>
    </sheetView>
  </sheetViews>
  <sheetFormatPr baseColWidth="8" defaultColWidth="9.140625" defaultRowHeight="18"/>
  <cols>
    <col width="1.7109375" customWidth="1" style="1" min="1" max="1"/>
    <col width="32.5703125" bestFit="1" customWidth="1" style="1" min="2" max="2"/>
    <col hidden="1" width="39.42578125" customWidth="1" style="1" min="3" max="3"/>
    <col width="50" bestFit="1" customWidth="1" style="67" min="4" max="4"/>
    <col width="24.85546875" bestFit="1" customWidth="1" style="1" min="5" max="5"/>
    <col width="10.85546875" bestFit="1" customWidth="1" style="6" min="6" max="6"/>
    <col width="15.28515625" bestFit="1" customWidth="1" style="69" min="7" max="7"/>
    <col width="14.85546875" bestFit="1" customWidth="1" style="68" min="8" max="8"/>
    <col width="9.140625" customWidth="1" style="1" min="9" max="16384"/>
  </cols>
  <sheetData>
    <row r="1" ht="9.949999999999999" customHeight="1"/>
    <row r="2" ht="37.7" customHeight="1">
      <c r="B2" s="78" t="inlineStr">
        <is>
          <t>شرح آیتم</t>
        </is>
      </c>
      <c r="C2" s="79" t="inlineStr">
        <is>
          <t>WBS</t>
        </is>
      </c>
      <c r="D2" s="78" t="inlineStr">
        <is>
          <t>اکیپ</t>
        </is>
      </c>
      <c r="E2" s="78" t="inlineStr">
        <is>
          <t>واحد پایش</t>
        </is>
      </c>
      <c r="F2" s="80" t="inlineStr">
        <is>
          <t>راندمان</t>
        </is>
      </c>
      <c r="G2" s="81" t="inlineStr">
        <is>
          <t>تعداد نفر اکیپ</t>
        </is>
      </c>
      <c r="H2" s="82" t="inlineStr">
        <is>
          <t>راندمان هرنفر</t>
        </is>
      </c>
    </row>
    <row r="3" ht="20.1" customHeight="1">
      <c r="B3" s="125" t="inlineStr">
        <is>
          <t>تخریب</t>
        </is>
      </c>
      <c r="C3" s="126" t="n"/>
      <c r="D3" s="126" t="n"/>
      <c r="E3" s="126" t="n"/>
      <c r="F3" s="126" t="n"/>
      <c r="G3" s="126" t="n"/>
      <c r="H3" s="127" t="n"/>
    </row>
    <row r="4" ht="15.75" customHeight="1">
      <c r="B4" s="70" t="inlineStr">
        <is>
          <t>تخریب ساختمان قدیمی</t>
        </is>
      </c>
      <c r="C4" s="70" t="inlineStr">
        <is>
          <t>تخریب</t>
        </is>
      </c>
      <c r="D4" s="70" t="inlineStr">
        <is>
          <t>اکیپ تخریب 4 نفره</t>
        </is>
      </c>
      <c r="E4" s="70" t="inlineStr">
        <is>
          <t>مترمربع زیربنا</t>
        </is>
      </c>
      <c r="F4" s="71" t="n">
        <v>11.5</v>
      </c>
      <c r="G4" s="72" t="n">
        <v>4</v>
      </c>
      <c r="H4" s="73">
        <f>F4/G4</f>
        <v/>
      </c>
    </row>
    <row r="5" ht="15.75" customHeight="1">
      <c r="B5" s="74" t="inlineStr">
        <is>
          <t>حمل نخاله</t>
        </is>
      </c>
      <c r="C5" s="70" t="inlineStr">
        <is>
          <t>تخریب</t>
        </is>
      </c>
      <c r="D5" s="74" t="inlineStr">
        <is>
          <t>اکیپ خاکبرداری 2 نفره</t>
        </is>
      </c>
      <c r="E5" s="74" t="inlineStr">
        <is>
          <t>مترمکعب</t>
        </is>
      </c>
      <c r="F5" s="75" t="n">
        <v>100</v>
      </c>
      <c r="G5" s="76" t="n">
        <v>2</v>
      </c>
      <c r="H5" s="77" t="n">
        <v>50</v>
      </c>
    </row>
    <row r="6" ht="20.1" customHeight="1">
      <c r="B6" s="125" t="inlineStr">
        <is>
          <t>تجهیز و برچیدن کارگاه</t>
        </is>
      </c>
      <c r="C6" s="126" t="n"/>
      <c r="D6" s="126" t="n"/>
      <c r="E6" s="126" t="n"/>
      <c r="F6" s="126" t="n"/>
      <c r="G6" s="126" t="n"/>
      <c r="H6" s="127" t="n"/>
    </row>
    <row r="7" ht="15.75" customHeight="1">
      <c r="B7" s="74" t="inlineStr">
        <is>
          <t>اجرای حفاظ پیرامونی تجهیز کارگاه</t>
        </is>
      </c>
      <c r="C7" s="70" t="inlineStr">
        <is>
          <t>تجهیز و برچیدن کارگاه</t>
        </is>
      </c>
      <c r="D7" s="74" t="inlineStr">
        <is>
          <t>اکیپ تجهیز و برچیدن کارگاه 2 نفره</t>
        </is>
      </c>
      <c r="E7" s="74" t="inlineStr">
        <is>
          <t>متر طول</t>
        </is>
      </c>
      <c r="F7" s="75" t="n">
        <v>12</v>
      </c>
      <c r="G7" s="76" t="n">
        <v>2</v>
      </c>
      <c r="H7" s="77">
        <f>F7/G7</f>
        <v/>
      </c>
    </row>
    <row r="8" ht="15.75" customHeight="1">
      <c r="B8" s="70" t="inlineStr">
        <is>
          <t>اتصال تاسیسات شهری تجهیز کارگاه</t>
        </is>
      </c>
      <c r="C8" s="70" t="inlineStr">
        <is>
          <t>تجهیز و برچیدن کارگاه</t>
        </is>
      </c>
      <c r="D8" s="70" t="inlineStr">
        <is>
          <t>اکیپ تجهیز و برچیدن کارگاه 2 نفره</t>
        </is>
      </c>
      <c r="E8" s="70" t="inlineStr">
        <is>
          <t>بسته کاری خاص</t>
        </is>
      </c>
      <c r="F8" s="71">
        <f>1/10</f>
        <v/>
      </c>
      <c r="G8" s="72" t="n">
        <v>2</v>
      </c>
      <c r="H8" s="73">
        <f>F8/G8</f>
        <v/>
      </c>
    </row>
    <row r="9" ht="15.75" customHeight="1">
      <c r="B9" s="74" t="inlineStr">
        <is>
          <t>اجرای سازه نگهدارنده کانکس</t>
        </is>
      </c>
      <c r="C9" s="70" t="inlineStr">
        <is>
          <t>تجهیز و برچیدن کارگاه</t>
        </is>
      </c>
      <c r="D9" s="74" t="inlineStr">
        <is>
          <t>اکیپ تجهیز و برچیدن کارگاه 2 نفره</t>
        </is>
      </c>
      <c r="E9" s="74" t="inlineStr">
        <is>
          <t>تعداد کانکس</t>
        </is>
      </c>
      <c r="F9" s="75" t="n">
        <v>1</v>
      </c>
      <c r="G9" s="76" t="n">
        <v>2</v>
      </c>
      <c r="H9" s="77" t="n">
        <v>1</v>
      </c>
    </row>
    <row r="10" ht="15.75" customHeight="1">
      <c r="B10" s="70" t="inlineStr">
        <is>
          <t>نصب کانکس</t>
        </is>
      </c>
      <c r="C10" s="70" t="inlineStr">
        <is>
          <t>تجهیز و برچیدن کارگاه</t>
        </is>
      </c>
      <c r="D10" s="70" t="inlineStr">
        <is>
          <t>اکیپ تجهیز و برچیدن کارگاه 2 نفره</t>
        </is>
      </c>
      <c r="E10" s="70" t="inlineStr">
        <is>
          <t>تعداد کانکس</t>
        </is>
      </c>
      <c r="F10" s="71" t="n">
        <v>1</v>
      </c>
      <c r="G10" s="72" t="n">
        <v>2</v>
      </c>
      <c r="H10" s="73" t="n">
        <v>1</v>
      </c>
    </row>
    <row r="11" ht="15.75" customHeight="1">
      <c r="B11" s="74" t="inlineStr">
        <is>
          <t>اجرای تاسیسات آب و برق تجهیز کارگاه</t>
        </is>
      </c>
      <c r="C11" s="70" t="inlineStr">
        <is>
          <t>تجهیز و برچیدن کارگاه</t>
        </is>
      </c>
      <c r="D11" s="74" t="inlineStr">
        <is>
          <t>اکیپ تجهیز و برچیدن کارگاه 2 نفره</t>
        </is>
      </c>
      <c r="E11" s="74" t="inlineStr">
        <is>
          <t>بسته کاری خاص</t>
        </is>
      </c>
      <c r="F11" s="75">
        <f>1/5</f>
        <v/>
      </c>
      <c r="G11" s="76" t="n">
        <v>2</v>
      </c>
      <c r="H11" s="77">
        <f>F11/G11</f>
        <v/>
      </c>
    </row>
    <row r="12" ht="15.75" customHeight="1">
      <c r="B12" s="70" t="inlineStr">
        <is>
          <t>اجرای فونداسیون تاورکرین</t>
        </is>
      </c>
      <c r="C12" s="70" t="inlineStr">
        <is>
          <t>تجهیز و برچیدن کارگاه</t>
        </is>
      </c>
      <c r="D12" s="70" t="inlineStr">
        <is>
          <t>اکیپ نصب تاورکرین با جرثقیل 4 نفره</t>
        </is>
      </c>
      <c r="E12" s="70" t="inlineStr">
        <is>
          <t>تعداد</t>
        </is>
      </c>
      <c r="F12" s="71" t="n">
        <v>1</v>
      </c>
      <c r="G12" s="72" t="n">
        <v>4</v>
      </c>
      <c r="H12" s="73" t="n">
        <v>0</v>
      </c>
    </row>
    <row r="13" ht="15.75" customHeight="1">
      <c r="B13" s="74" t="inlineStr">
        <is>
          <t>نصب پایه تثبیت تاورکرین</t>
        </is>
      </c>
      <c r="C13" s="70" t="inlineStr">
        <is>
          <t>تجهیز و برچیدن کارگاه</t>
        </is>
      </c>
      <c r="D13" s="74" t="inlineStr">
        <is>
          <t>اکیپ نصب تاورکرین با جرثقیل 4 نفره</t>
        </is>
      </c>
      <c r="E13" s="74" t="inlineStr">
        <is>
          <t>تعداد</t>
        </is>
      </c>
      <c r="F13" s="75" t="n">
        <v>1</v>
      </c>
      <c r="G13" s="76" t="n">
        <v>4</v>
      </c>
      <c r="H13" s="77" t="n">
        <v>1</v>
      </c>
    </row>
    <row r="14" ht="15.75" customHeight="1">
      <c r="B14" s="70" t="inlineStr">
        <is>
          <t>مونتاژ تاورکرین</t>
        </is>
      </c>
      <c r="C14" s="70" t="inlineStr">
        <is>
          <t>تجهیز و برچیدن کارگاه</t>
        </is>
      </c>
      <c r="D14" s="70" t="inlineStr">
        <is>
          <t>اکیپ نصب تاورکرین با جرثقیل 4 نفره</t>
        </is>
      </c>
      <c r="E14" s="70" t="inlineStr">
        <is>
          <t>تعداد</t>
        </is>
      </c>
      <c r="F14" s="71" t="n">
        <v>1</v>
      </c>
      <c r="G14" s="72" t="n">
        <v>4</v>
      </c>
      <c r="H14" s="73" t="n">
        <v>0</v>
      </c>
    </row>
    <row r="15" ht="15.75" customHeight="1">
      <c r="B15" s="74" t="inlineStr">
        <is>
          <t>نصب سکشن تاورکرین</t>
        </is>
      </c>
      <c r="C15" s="70" t="inlineStr">
        <is>
          <t>تجهیز و برچیدن کارگاه</t>
        </is>
      </c>
      <c r="D15" s="74" t="inlineStr">
        <is>
          <t>اکیپ نصب تاورکرین با جرثقیل 4 نفره</t>
        </is>
      </c>
      <c r="E15" s="74" t="inlineStr">
        <is>
          <t>تعداد سکشن</t>
        </is>
      </c>
      <c r="F15" s="75" t="n">
        <v>8</v>
      </c>
      <c r="G15" s="76" t="n">
        <v>4</v>
      </c>
      <c r="H15" s="77">
        <f>F15/G15</f>
        <v/>
      </c>
    </row>
    <row r="16" ht="15.75" customHeight="1">
      <c r="B16" s="70" t="inlineStr">
        <is>
          <t>دمونتاژ تاورکرین</t>
        </is>
      </c>
      <c r="C16" s="70" t="inlineStr">
        <is>
          <t>تجهیز و برچیدن کارگاه</t>
        </is>
      </c>
      <c r="D16" s="70" t="inlineStr">
        <is>
          <t>اکیپ نصب تاورکرین با جرثقیل 4 نفره</t>
        </is>
      </c>
      <c r="E16" s="70" t="inlineStr">
        <is>
          <t>تعداد</t>
        </is>
      </c>
      <c r="F16" s="71" t="n">
        <v>1</v>
      </c>
      <c r="G16" s="72" t="n">
        <v>4</v>
      </c>
      <c r="H16" s="73" t="n">
        <v>0</v>
      </c>
    </row>
    <row r="17" ht="15.75" customHeight="1">
      <c r="B17" s="74" t="inlineStr">
        <is>
          <t>نصب آلیماک</t>
        </is>
      </c>
      <c r="C17" s="70" t="inlineStr">
        <is>
          <t>تجهیز و برچیدن کارگاه</t>
        </is>
      </c>
      <c r="D17" s="74" t="inlineStr">
        <is>
          <t>اکیپ نصب آلیماک 4 نفره</t>
        </is>
      </c>
      <c r="E17" s="74" t="inlineStr">
        <is>
          <t>تعداد</t>
        </is>
      </c>
      <c r="F17" s="75" t="n">
        <v>3</v>
      </c>
      <c r="G17" s="76" t="n">
        <v>4</v>
      </c>
      <c r="H17" s="77" t="n">
        <v>1</v>
      </c>
    </row>
    <row r="18" ht="15.75" customHeight="1">
      <c r="B18" s="70" t="inlineStr">
        <is>
          <t>جمع کردن آلیماک</t>
        </is>
      </c>
      <c r="C18" s="70" t="inlineStr">
        <is>
          <t>تجهیز و برچیدن کارگاه</t>
        </is>
      </c>
      <c r="D18" s="70" t="inlineStr">
        <is>
          <t>اکیپ نصب آلیماک 4 نفره</t>
        </is>
      </c>
      <c r="E18" s="70" t="inlineStr">
        <is>
          <t>تعداد</t>
        </is>
      </c>
      <c r="F18" s="71" t="n">
        <v>2</v>
      </c>
      <c r="G18" s="72" t="n">
        <v>4</v>
      </c>
      <c r="H18" s="73" t="n">
        <v>1</v>
      </c>
    </row>
    <row r="19" ht="15.75" customHeight="1">
      <c r="B19" s="74" t="inlineStr">
        <is>
          <t>کلیه فعالیت های مرتبط با برچیدن کارگاه</t>
        </is>
      </c>
      <c r="C19" s="70" t="inlineStr">
        <is>
          <t>تجهیز و برچیدن کارگاه</t>
        </is>
      </c>
      <c r="D19" s="74" t="inlineStr">
        <is>
          <t>اکیپ تجهیز و برچیدن کارگاه 2 نفره</t>
        </is>
      </c>
      <c r="E19" s="74" t="inlineStr">
        <is>
          <t>بسته کاری خاص</t>
        </is>
      </c>
      <c r="F19" s="75">
        <f>1/60</f>
        <v/>
      </c>
      <c r="G19" s="76" t="n">
        <v>2</v>
      </c>
      <c r="H19" s="77">
        <f>F19/G19</f>
        <v/>
      </c>
    </row>
    <row r="20" ht="20.1" customHeight="1">
      <c r="B20" s="125" t="inlineStr">
        <is>
          <t>سازه</t>
        </is>
      </c>
      <c r="C20" s="126" t="n"/>
      <c r="D20" s="126" t="n"/>
      <c r="E20" s="126" t="n"/>
      <c r="F20" s="126" t="n"/>
      <c r="G20" s="126" t="n"/>
      <c r="H20" s="127" t="n"/>
    </row>
    <row r="21" ht="15.75" customHeight="1">
      <c r="B21" s="128" t="inlineStr">
        <is>
          <t>فونداسیون</t>
        </is>
      </c>
      <c r="C21" s="126" t="n"/>
      <c r="D21" s="126" t="n"/>
      <c r="E21" s="126" t="n"/>
      <c r="F21" s="126" t="n"/>
      <c r="G21" s="126" t="n"/>
      <c r="H21" s="127" t="n"/>
    </row>
    <row r="22" ht="15.75" customHeight="1">
      <c r="B22" s="70" t="inlineStr">
        <is>
          <t>تسطیح و رگلاژ</t>
        </is>
      </c>
      <c r="C22" s="70" t="inlineStr">
        <is>
          <t>فونداسیون</t>
        </is>
      </c>
      <c r="D22" s="70" t="inlineStr">
        <is>
          <t>اکیپ تسطیح و رگلاژ 3 نفره</t>
        </is>
      </c>
      <c r="E22" s="70" t="inlineStr">
        <is>
          <t>متر مربع سطح کف</t>
        </is>
      </c>
      <c r="F22" s="71" t="n">
        <v>120</v>
      </c>
      <c r="G22" s="72" t="n">
        <v>3</v>
      </c>
      <c r="H22" s="73" t="n">
        <v>40</v>
      </c>
    </row>
    <row r="23" ht="15.75" customHeight="1">
      <c r="B23" s="74" t="inlineStr">
        <is>
          <t>اجرای بتن مگر</t>
        </is>
      </c>
      <c r="C23" s="70" t="inlineStr">
        <is>
          <t>فونداسیون</t>
        </is>
      </c>
      <c r="D23" s="74" t="inlineStr">
        <is>
          <t>اکیپ بتن ریزی مگر 3 نفره</t>
        </is>
      </c>
      <c r="E23" s="74" t="inlineStr">
        <is>
          <t>متر مربع</t>
        </is>
      </c>
      <c r="F23" s="75" t="n">
        <v>120</v>
      </c>
      <c r="G23" s="76" t="n">
        <v>3</v>
      </c>
      <c r="H23" s="77" t="n">
        <v>40</v>
      </c>
    </row>
    <row r="24" ht="15.75" customHeight="1">
      <c r="B24" s="70" t="inlineStr">
        <is>
          <t>اجرای عایق رطوبتی فونداسیون</t>
        </is>
      </c>
      <c r="C24" s="70" t="inlineStr">
        <is>
          <t>فونداسیون</t>
        </is>
      </c>
      <c r="D24" s="70" t="inlineStr">
        <is>
          <t>اکیپ اجرای عایق رطوبتی 3 نفره</t>
        </is>
      </c>
      <c r="E24" s="70" t="inlineStr">
        <is>
          <t>متر مربع</t>
        </is>
      </c>
      <c r="F24" s="71" t="n">
        <v>80</v>
      </c>
      <c r="G24" s="72" t="n">
        <v>3</v>
      </c>
      <c r="H24" s="73" t="n">
        <v>27</v>
      </c>
    </row>
    <row r="25" ht="15.75" customHeight="1">
      <c r="B25" s="74" t="inlineStr">
        <is>
          <t>نصب کول چاه فونداسیون</t>
        </is>
      </c>
      <c r="C25" s="70" t="inlineStr">
        <is>
          <t>فونداسیون</t>
        </is>
      </c>
      <c r="D25" s="74" t="inlineStr">
        <is>
          <t>اکیپ بنایی 1 بنا و 1 کارگر ساده</t>
        </is>
      </c>
      <c r="E25" s="74" t="inlineStr">
        <is>
          <t>تعداد چاه</t>
        </is>
      </c>
      <c r="F25" s="75" t="n">
        <v>4</v>
      </c>
      <c r="G25" s="76" t="n">
        <v>2</v>
      </c>
      <c r="H25" s="77" t="n">
        <v>2</v>
      </c>
    </row>
    <row r="26" ht="15.75" customHeight="1">
      <c r="B26" s="70" t="inlineStr">
        <is>
          <t>قالب بندی فونداسیون</t>
        </is>
      </c>
      <c r="C26" s="70" t="inlineStr">
        <is>
          <t>فونداسیون</t>
        </is>
      </c>
      <c r="D26" s="70" t="inlineStr">
        <is>
          <t>اکیپ آرماتوربندی و قالب بندی 2 نفره</t>
        </is>
      </c>
      <c r="E26" s="70" t="inlineStr">
        <is>
          <t>مترمربع</t>
        </is>
      </c>
      <c r="F26" s="71" t="n">
        <v>45</v>
      </c>
      <c r="G26" s="72" t="n">
        <v>2</v>
      </c>
      <c r="H26" s="73" t="n">
        <v>23</v>
      </c>
    </row>
    <row r="27" ht="15.75" customHeight="1">
      <c r="B27" s="74" t="inlineStr">
        <is>
          <t>آرماتوربندی فونداسیون</t>
        </is>
      </c>
      <c r="C27" s="70" t="inlineStr">
        <is>
          <t>فونداسیون</t>
        </is>
      </c>
      <c r="D27" s="74" t="inlineStr">
        <is>
          <t>اکیپ آرماتوربندی و قالب بندی 2 نفره</t>
        </is>
      </c>
      <c r="E27" s="74" t="inlineStr">
        <is>
          <t>کیلوگرم</t>
        </is>
      </c>
      <c r="F27" s="75" t="n">
        <v>1000</v>
      </c>
      <c r="G27" s="76" t="n">
        <v>2</v>
      </c>
      <c r="H27" s="77" t="n">
        <v>500</v>
      </c>
    </row>
    <row r="28" ht="15.75" customHeight="1">
      <c r="B28" s="70" t="inlineStr">
        <is>
          <t>بتن ریزی فونداسیون</t>
        </is>
      </c>
      <c r="C28" s="70" t="inlineStr">
        <is>
          <t>فونداسیون</t>
        </is>
      </c>
      <c r="D28" s="70" t="inlineStr">
        <is>
          <t>اکیپ بتن ریزی با پمپ بتن 4 نفره</t>
        </is>
      </c>
      <c r="E28" s="70" t="inlineStr">
        <is>
          <t>متر مکعب</t>
        </is>
      </c>
      <c r="F28" s="71" t="n">
        <v>60</v>
      </c>
      <c r="G28" s="72" t="n">
        <v>4</v>
      </c>
      <c r="H28" s="73" t="n">
        <v>15</v>
      </c>
    </row>
    <row r="29" ht="15.75" customHeight="1">
      <c r="B29" s="74" t="inlineStr">
        <is>
          <t>نصب بولت و صفحه ستون</t>
        </is>
      </c>
      <c r="C29" s="70" t="inlineStr">
        <is>
          <t>فونداسیون</t>
        </is>
      </c>
      <c r="D29" s="74" t="inlineStr">
        <is>
          <t>اکیپ آرماتوربندی و قالب بندی 2 نفره</t>
        </is>
      </c>
      <c r="E29" s="74" t="inlineStr">
        <is>
          <t>تعداد صفحه ستون</t>
        </is>
      </c>
      <c r="F29" s="75" t="n">
        <v>2</v>
      </c>
      <c r="G29" s="76" t="n">
        <v>2</v>
      </c>
      <c r="H29" s="77">
        <f>F29/G29</f>
        <v/>
      </c>
    </row>
    <row r="30" ht="15.75" customHeight="1">
      <c r="B30" s="70" t="inlineStr">
        <is>
          <t>گروت ریزی</t>
        </is>
      </c>
      <c r="C30" s="70" t="inlineStr">
        <is>
          <t>فونداسیون</t>
        </is>
      </c>
      <c r="D30" s="70" t="inlineStr">
        <is>
          <t>اکیپ گروت ریزی 1 نفره</t>
        </is>
      </c>
      <c r="E30" s="70" t="inlineStr">
        <is>
          <t>تعداد صفحه ستون</t>
        </is>
      </c>
      <c r="F30" s="71" t="n">
        <v>3</v>
      </c>
      <c r="G30" s="72" t="n">
        <v>1</v>
      </c>
      <c r="H30" s="73">
        <f>F30/G30</f>
        <v/>
      </c>
    </row>
    <row r="31" ht="15.75" customHeight="1">
      <c r="B31" s="128" t="inlineStr">
        <is>
          <t>گود و سازه نگهبان</t>
        </is>
      </c>
      <c r="C31" s="126" t="n"/>
      <c r="D31" s="126" t="n"/>
      <c r="E31" s="126" t="n"/>
      <c r="F31" s="126" t="n"/>
      <c r="G31" s="126" t="n"/>
      <c r="H31" s="127" t="n"/>
    </row>
    <row r="32" ht="15.75" customHeight="1">
      <c r="B32" s="74" t="inlineStr">
        <is>
          <t>بارگیری و حمل خاک</t>
        </is>
      </c>
      <c r="C32" s="70" t="inlineStr">
        <is>
          <t>گود و سازه نگهبان</t>
        </is>
      </c>
      <c r="D32" s="83" t="inlineStr">
        <is>
          <t>اکیپ بارگیری و حمل خاک متوسط 3 نفره</t>
        </is>
      </c>
      <c r="E32" s="74" t="inlineStr">
        <is>
          <t>مترمکعب</t>
        </is>
      </c>
      <c r="F32" s="75" t="n">
        <v>120</v>
      </c>
      <c r="G32" s="76" t="n">
        <v>3</v>
      </c>
      <c r="H32" s="77" t="n">
        <v>40</v>
      </c>
    </row>
    <row r="33" ht="15.75" customHeight="1">
      <c r="B33" s="70" t="inlineStr">
        <is>
          <t>پانل برداری ماشینی</t>
        </is>
      </c>
      <c r="C33" s="70" t="inlineStr">
        <is>
          <t>گود و سازه نگهبان</t>
        </is>
      </c>
      <c r="D33" s="84" t="inlineStr">
        <is>
          <t>اکیپ پانل برداری ماشینی 1 نفره شامل یک اپراتور به همراه یک دستگاه بیل مکانیکی</t>
        </is>
      </c>
      <c r="E33" s="70" t="inlineStr">
        <is>
          <t>متر مربع سطح دیوار</t>
        </is>
      </c>
      <c r="F33" s="71" t="n">
        <v>38</v>
      </c>
      <c r="G33" s="72" t="n">
        <v>2</v>
      </c>
      <c r="H33" s="73">
        <f>F33/G33</f>
        <v/>
      </c>
    </row>
    <row r="34" ht="15.75" customHeight="1">
      <c r="B34" s="74" t="inlineStr">
        <is>
          <t>اجرای مش و شات کریت</t>
        </is>
      </c>
      <c r="C34" s="70" t="inlineStr">
        <is>
          <t>گود و سازه نگهبان</t>
        </is>
      </c>
      <c r="D34" s="83" t="inlineStr">
        <is>
          <t>اکیپ اجرای مش و شاتکریت متوسط 2 نفره</t>
        </is>
      </c>
      <c r="E34" s="74" t="inlineStr">
        <is>
          <t>مترمربع</t>
        </is>
      </c>
      <c r="F34" s="75">
        <f>(7*0.9)*6</f>
        <v/>
      </c>
      <c r="G34" s="76" t="n">
        <v>2</v>
      </c>
      <c r="H34" s="77">
        <f>F34/G34</f>
        <v/>
      </c>
    </row>
    <row r="35" ht="15.75" customHeight="1">
      <c r="B35" s="70" t="inlineStr">
        <is>
          <t>حفاری گمانه</t>
        </is>
      </c>
      <c r="C35" s="70" t="inlineStr">
        <is>
          <t>گود و سازه نگهبان</t>
        </is>
      </c>
      <c r="D35" s="84" t="inlineStr">
        <is>
          <t>اکیپ حفاری گمانه شمع 2 نفره شامل یک اپراتور و کارگر به همراه یک دستگاه دریل واگن</t>
        </is>
      </c>
      <c r="E35" s="70" t="inlineStr">
        <is>
          <t>مترطول</t>
        </is>
      </c>
      <c r="F35" s="71" t="n">
        <v>57</v>
      </c>
      <c r="G35" s="72" t="n">
        <v>2</v>
      </c>
      <c r="H35" s="73">
        <f>F35/G35</f>
        <v/>
      </c>
    </row>
    <row r="36" ht="15.75" customHeight="1">
      <c r="B36" s="74" t="inlineStr">
        <is>
          <t>آماده سازی، جایگذاری و تزریق استرند</t>
        </is>
      </c>
      <c r="C36" s="70" t="inlineStr">
        <is>
          <t>گود و سازه نگهبان</t>
        </is>
      </c>
      <c r="D36" s="83" t="inlineStr">
        <is>
          <t>اکیپ آماده سازی، جایگذاری و تزریق متوسط 4 نفره</t>
        </is>
      </c>
      <c r="E36" s="74" t="inlineStr">
        <is>
          <t>تعداد</t>
        </is>
      </c>
      <c r="F36" s="75" t="n">
        <v>6</v>
      </c>
      <c r="G36" s="76" t="n">
        <v>4</v>
      </c>
      <c r="H36" s="77">
        <f>F36/G36</f>
        <v/>
      </c>
    </row>
    <row r="37" ht="15.75" customHeight="1">
      <c r="B37" s="70" t="inlineStr">
        <is>
          <t>کشش استرند</t>
        </is>
      </c>
      <c r="C37" s="70" t="inlineStr">
        <is>
          <t>گود و سازه نگهبان</t>
        </is>
      </c>
      <c r="D37" s="84" t="inlineStr">
        <is>
          <t>اکیپ کشش استرند 4 نفره شامل یک تکنسین و سه کارگر</t>
        </is>
      </c>
      <c r="E37" s="70" t="inlineStr">
        <is>
          <t>تعداد</t>
        </is>
      </c>
      <c r="F37" s="71" t="n">
        <v>6.1</v>
      </c>
      <c r="G37" s="72" t="n">
        <v>4</v>
      </c>
      <c r="H37" s="73">
        <f>F37/G37</f>
        <v/>
      </c>
    </row>
    <row r="38" ht="15.75" customHeight="1">
      <c r="B38" s="74" t="inlineStr">
        <is>
          <t>اجرای نیل</t>
        </is>
      </c>
      <c r="C38" s="70" t="inlineStr">
        <is>
          <t>گود و سازه نگهبان</t>
        </is>
      </c>
      <c r="D38" s="83" t="inlineStr">
        <is>
          <t>اکیپ آماده سازی، جایگذاری و تزریق متوسط 4 نفره</t>
        </is>
      </c>
      <c r="E38" s="74" t="inlineStr">
        <is>
          <t>تعداد</t>
        </is>
      </c>
      <c r="F38" s="75" t="n">
        <v>10.94</v>
      </c>
      <c r="G38" s="76" t="n">
        <v>4</v>
      </c>
      <c r="H38" s="77">
        <f>F38/G38</f>
        <v/>
      </c>
    </row>
    <row r="39" ht="15.75" customHeight="1">
      <c r="B39" s="128" t="inlineStr">
        <is>
          <t>دیوار حائل</t>
        </is>
      </c>
      <c r="C39" s="126" t="n"/>
      <c r="D39" s="126" t="n"/>
      <c r="E39" s="126" t="n"/>
      <c r="F39" s="126" t="n"/>
      <c r="G39" s="126" t="n"/>
      <c r="H39" s="127" t="n"/>
    </row>
    <row r="40" ht="15.75" customHeight="1">
      <c r="B40" s="74" t="inlineStr">
        <is>
          <t xml:space="preserve">آرماتوربندی دیوار حائل </t>
        </is>
      </c>
      <c r="C40" s="70" t="inlineStr">
        <is>
          <t>دیوار حائل</t>
        </is>
      </c>
      <c r="D40" s="74" t="inlineStr">
        <is>
          <t>اکیپ آرماتوربندی و قالب بندی 2 نفره</t>
        </is>
      </c>
      <c r="E40" s="74" t="inlineStr">
        <is>
          <t>متر مربع</t>
        </is>
      </c>
      <c r="F40" s="75" t="n">
        <v>20</v>
      </c>
      <c r="G40" s="76" t="n">
        <v>2</v>
      </c>
      <c r="H40" s="77">
        <f>F40/G40</f>
        <v/>
      </c>
    </row>
    <row r="41" ht="15.75" customHeight="1">
      <c r="B41" s="70" t="inlineStr">
        <is>
          <t xml:space="preserve">قالب بندی دیوار حائل </t>
        </is>
      </c>
      <c r="C41" s="70" t="inlineStr">
        <is>
          <t>دیوار حائل</t>
        </is>
      </c>
      <c r="D41" s="70" t="inlineStr">
        <is>
          <t>اکیپ آرماتوربندی و قالب بندی 2 نفره</t>
        </is>
      </c>
      <c r="E41" s="70" t="inlineStr">
        <is>
          <t>متر مربع</t>
        </is>
      </c>
      <c r="F41" s="71" t="n">
        <v>28</v>
      </c>
      <c r="G41" s="72" t="n">
        <v>2</v>
      </c>
      <c r="H41" s="73">
        <f>F41/G41</f>
        <v/>
      </c>
      <c r="K41" s="2" t="n"/>
    </row>
    <row r="42" ht="15.75" customHeight="1">
      <c r="B42" s="74" t="inlineStr">
        <is>
          <t xml:space="preserve">بتن ریزی دیوار حائل </t>
        </is>
      </c>
      <c r="C42" s="70" t="inlineStr">
        <is>
          <t>دیوار حائل</t>
        </is>
      </c>
      <c r="D42" s="74" t="inlineStr">
        <is>
          <t>اکیپ بتن ریزی با پمپ بتن 4 نفره</t>
        </is>
      </c>
      <c r="E42" s="74" t="inlineStr">
        <is>
          <t>متر مکعب</t>
        </is>
      </c>
      <c r="F42" s="75" t="n">
        <v>18</v>
      </c>
      <c r="G42" s="76" t="n">
        <v>4</v>
      </c>
      <c r="H42" s="77" t="n">
        <v>5</v>
      </c>
    </row>
    <row r="43" ht="15.75" customHeight="1">
      <c r="B43" s="128" t="inlineStr">
        <is>
          <t>ستون بتنی</t>
        </is>
      </c>
      <c r="C43" s="126" t="n"/>
      <c r="D43" s="126" t="n"/>
      <c r="E43" s="126" t="n"/>
      <c r="F43" s="126" t="n"/>
      <c r="G43" s="126" t="n"/>
      <c r="H43" s="127" t="n"/>
    </row>
    <row r="44" ht="15.75" customHeight="1">
      <c r="B44" s="74" t="inlineStr">
        <is>
          <t>آرماتوربندی ستون ها</t>
        </is>
      </c>
      <c r="C44" s="70" t="inlineStr">
        <is>
          <t>ستون بتنی</t>
        </is>
      </c>
      <c r="D44" s="74" t="inlineStr">
        <is>
          <t>اکیپ آرماتوربندی و قالب بندی 2 نفره</t>
        </is>
      </c>
      <c r="E44" s="74" t="inlineStr">
        <is>
          <t>تعداد</t>
        </is>
      </c>
      <c r="F44" s="75" t="n">
        <v>6</v>
      </c>
      <c r="G44" s="76" t="n">
        <v>2</v>
      </c>
      <c r="H44" s="77" t="n">
        <v>3</v>
      </c>
    </row>
    <row r="45" ht="15.75" customHeight="1">
      <c r="B45" s="70" t="inlineStr">
        <is>
          <t>قالب بندی ستون ها</t>
        </is>
      </c>
      <c r="C45" s="70" t="inlineStr">
        <is>
          <t>ستون بتنی</t>
        </is>
      </c>
      <c r="D45" s="70" t="inlineStr">
        <is>
          <t>اکیپ آرماتوربندی و قالب بندی 2 نفره</t>
        </is>
      </c>
      <c r="E45" s="70" t="inlineStr">
        <is>
          <t>تعداد</t>
        </is>
      </c>
      <c r="F45" s="71" t="n">
        <v>8</v>
      </c>
      <c r="G45" s="72" t="n">
        <v>2</v>
      </c>
      <c r="H45" s="73" t="n">
        <v>4</v>
      </c>
    </row>
    <row r="46" ht="15.75" customHeight="1">
      <c r="B46" s="74" t="inlineStr">
        <is>
          <t>بتن ریزی ستون ها</t>
        </is>
      </c>
      <c r="C46" s="70" t="inlineStr">
        <is>
          <t>ستون بتنی</t>
        </is>
      </c>
      <c r="D46" s="74" t="inlineStr">
        <is>
          <t>اکیپ بتن ریزی با پمپ بتن 4 نفره</t>
        </is>
      </c>
      <c r="E46" s="74" t="inlineStr">
        <is>
          <t>تعداد</t>
        </is>
      </c>
      <c r="F46" s="75" t="n">
        <v>10</v>
      </c>
      <c r="G46" s="76" t="n">
        <v>4</v>
      </c>
      <c r="H46" s="77" t="n">
        <v>3</v>
      </c>
    </row>
    <row r="47" ht="15.75" customHeight="1">
      <c r="B47" s="128" t="inlineStr">
        <is>
          <t>سقف دال بتنی</t>
        </is>
      </c>
      <c r="C47" s="126" t="n"/>
      <c r="D47" s="126" t="n"/>
      <c r="E47" s="126" t="n"/>
      <c r="F47" s="126" t="n"/>
      <c r="G47" s="126" t="n"/>
      <c r="H47" s="127" t="n"/>
    </row>
    <row r="48" ht="15.75" customHeight="1">
      <c r="B48" s="74" t="inlineStr">
        <is>
          <t>قالب بندی  سقف دال بتنی</t>
        </is>
      </c>
      <c r="C48" s="70" t="inlineStr">
        <is>
          <t>سقف دال بتنی</t>
        </is>
      </c>
      <c r="D48" s="74" t="inlineStr">
        <is>
          <t>اکیپ آرماتوربندی و قالب بندی 2 نفره</t>
        </is>
      </c>
      <c r="E48" s="74" t="inlineStr">
        <is>
          <t>متر مربع</t>
        </is>
      </c>
      <c r="F48" s="75" t="n">
        <v>25</v>
      </c>
      <c r="G48" s="76" t="n">
        <v>2</v>
      </c>
      <c r="H48" s="77">
        <f>F48/G48</f>
        <v/>
      </c>
    </row>
    <row r="49" ht="15.75" customHeight="1">
      <c r="B49" s="70" t="inlineStr">
        <is>
          <t>آرماتوربندی سقف دال بتنی</t>
        </is>
      </c>
      <c r="C49" s="70" t="inlineStr">
        <is>
          <t>سقف دال بتنی</t>
        </is>
      </c>
      <c r="D49" s="70" t="inlineStr">
        <is>
          <t>اکیپ آرماتوربندی و قالب بندی 2 نفره</t>
        </is>
      </c>
      <c r="E49" s="70" t="inlineStr">
        <is>
          <t>متر مربع</t>
        </is>
      </c>
      <c r="F49" s="71" t="n">
        <v>40</v>
      </c>
      <c r="G49" s="72" t="n">
        <v>2</v>
      </c>
      <c r="H49" s="73">
        <f>F49/G49</f>
        <v/>
      </c>
    </row>
    <row r="50" ht="15.75" customHeight="1">
      <c r="B50" s="74" t="inlineStr">
        <is>
          <t xml:space="preserve">بتن ریزی سقف دال بتنی </t>
        </is>
      </c>
      <c r="C50" s="70" t="inlineStr">
        <is>
          <t>سقف دال بتنی</t>
        </is>
      </c>
      <c r="D50" s="74" t="inlineStr">
        <is>
          <t>اکیپ بتن ریزی با پمپ بتن 6 نفره</t>
        </is>
      </c>
      <c r="E50" s="74" t="inlineStr">
        <is>
          <t>متر مربع</t>
        </is>
      </c>
      <c r="F50" s="75" t="n">
        <v>400</v>
      </c>
      <c r="G50" s="76" t="n">
        <v>6</v>
      </c>
      <c r="H50" s="77" t="n">
        <v>67</v>
      </c>
    </row>
    <row r="51" ht="15.75" customHeight="1">
      <c r="B51" s="128" t="inlineStr">
        <is>
          <t>اسکلت فلزی</t>
        </is>
      </c>
      <c r="C51" s="126" t="n"/>
      <c r="D51" s="126" t="n"/>
      <c r="E51" s="126" t="n"/>
      <c r="F51" s="126" t="n"/>
      <c r="G51" s="126" t="n"/>
      <c r="H51" s="127" t="n"/>
    </row>
    <row r="52" ht="15.75" customHeight="1">
      <c r="B52" s="74" t="inlineStr">
        <is>
          <t>نصب ستون</t>
        </is>
      </c>
      <c r="C52" s="70" t="inlineStr">
        <is>
          <t>اسکلت فلزی</t>
        </is>
      </c>
      <c r="D52" s="74" t="inlineStr">
        <is>
          <t>اکیپ نصب تیر و ستون اسکلت فلزی با تاورکرین 4 نفره</t>
        </is>
      </c>
      <c r="E52" s="74" t="inlineStr">
        <is>
          <t>تعداد</t>
        </is>
      </c>
      <c r="F52" s="75" t="n">
        <v>6</v>
      </c>
      <c r="G52" s="76" t="n">
        <v>4</v>
      </c>
      <c r="H52" s="77">
        <f>F52/G52</f>
        <v/>
      </c>
    </row>
    <row r="53" ht="15.75" customHeight="1">
      <c r="B53" s="70" t="inlineStr">
        <is>
          <t>نصب تیر اصلی</t>
        </is>
      </c>
      <c r="C53" s="70" t="inlineStr">
        <is>
          <t>اسکلت فلزی</t>
        </is>
      </c>
      <c r="D53" s="70" t="inlineStr">
        <is>
          <t>اکیپ نصب تیر و ستون اسکلت فلزی با تاورکرین 4 نفره</t>
        </is>
      </c>
      <c r="E53" s="70" t="inlineStr">
        <is>
          <t>تعداد</t>
        </is>
      </c>
      <c r="F53" s="71" t="n">
        <v>16</v>
      </c>
      <c r="G53" s="72" t="n">
        <v>4</v>
      </c>
      <c r="H53" s="73">
        <f>F53/G53</f>
        <v/>
      </c>
    </row>
    <row r="54" ht="15.75" customHeight="1">
      <c r="B54" s="74" t="inlineStr">
        <is>
          <t>شاقول کاری اسکلت فلزی</t>
        </is>
      </c>
      <c r="C54" s="70" t="inlineStr">
        <is>
          <t>اسکلت فلزی</t>
        </is>
      </c>
      <c r="D54" s="74" t="inlineStr">
        <is>
          <t>اکیپ نصب تیر و ستون اسکلت فلزی با تاورکرین 4 نفره</t>
        </is>
      </c>
      <c r="E54" s="74" t="inlineStr">
        <is>
          <t>تعداد ستون</t>
        </is>
      </c>
      <c r="F54" s="75" t="n">
        <v>7</v>
      </c>
      <c r="G54" s="76" t="n">
        <v>4</v>
      </c>
      <c r="H54" s="77">
        <f>F54/G54</f>
        <v/>
      </c>
    </row>
    <row r="55" ht="15.75" customHeight="1">
      <c r="B55" s="70" t="inlineStr">
        <is>
          <t>جوشکاری تکمیلی</t>
        </is>
      </c>
      <c r="C55" s="70" t="inlineStr">
        <is>
          <t>اسکلت فلزی</t>
        </is>
      </c>
      <c r="D55" s="70" t="inlineStr">
        <is>
          <t>اکیپ جوشکاری تکمیلی 1 نفره</t>
        </is>
      </c>
      <c r="E55" s="70" t="inlineStr">
        <is>
          <t>تعداد اتصال تیر اصلی به ستون یا معادل آن</t>
        </is>
      </c>
      <c r="F55" s="71" t="n">
        <v>7</v>
      </c>
      <c r="G55" s="72" t="n">
        <v>1</v>
      </c>
      <c r="H55" s="73">
        <f>F55/G55</f>
        <v/>
      </c>
    </row>
    <row r="56" ht="15.75" customHeight="1">
      <c r="B56" s="74" t="inlineStr">
        <is>
          <t>نصب تیر فرعی</t>
        </is>
      </c>
      <c r="C56" s="70" t="inlineStr">
        <is>
          <t>اسکلت فلزی</t>
        </is>
      </c>
      <c r="D56" s="74" t="inlineStr">
        <is>
          <t>اکیپ نصب تیر فرعی اسکلت فلزی با تاورکرین 4 نفره</t>
        </is>
      </c>
      <c r="E56" s="74" t="inlineStr">
        <is>
          <t>تعداد</t>
        </is>
      </c>
      <c r="F56" s="75" t="n">
        <v>24</v>
      </c>
      <c r="G56" s="76" t="n">
        <v>4</v>
      </c>
      <c r="H56" s="77">
        <f>F56/G56</f>
        <v/>
      </c>
    </row>
    <row r="57" ht="15.75" customHeight="1">
      <c r="B57" s="70" t="inlineStr">
        <is>
          <t>سفت کاری پیچ و مهره</t>
        </is>
      </c>
      <c r="C57" s="70" t="inlineStr">
        <is>
          <t>اسکلت فلزی</t>
        </is>
      </c>
      <c r="D57" s="70" t="inlineStr">
        <is>
          <t>اکیپ سفت کاری پیچ و مهره 2 نفره</t>
        </is>
      </c>
      <c r="E57" s="70" t="inlineStr">
        <is>
          <t>تعداد اتصال تیر اصلی به ستون یا معادل آن</t>
        </is>
      </c>
      <c r="F57" s="71" t="n">
        <v>9</v>
      </c>
      <c r="G57" s="72" t="n">
        <v>2</v>
      </c>
      <c r="H57" s="73">
        <f>F57/G57</f>
        <v/>
      </c>
    </row>
    <row r="58" ht="15.75" customHeight="1">
      <c r="B58" s="128" t="inlineStr">
        <is>
          <t>سقف متال دک</t>
        </is>
      </c>
      <c r="C58" s="126" t="n"/>
      <c r="D58" s="126" t="n"/>
      <c r="E58" s="126" t="n"/>
      <c r="F58" s="126" t="n"/>
      <c r="G58" s="126" t="n"/>
      <c r="H58" s="127" t="n"/>
    </row>
    <row r="59" ht="15.75" customHeight="1">
      <c r="B59" s="70" t="inlineStr">
        <is>
          <t>ورق ریزی سقف متال دک</t>
        </is>
      </c>
      <c r="C59" s="70" t="inlineStr">
        <is>
          <t>سقف متال دک</t>
        </is>
      </c>
      <c r="D59" s="70" t="inlineStr">
        <is>
          <t>اکیپ اجرای سقف متال دک 3 نفره</t>
        </is>
      </c>
      <c r="E59" s="70" t="inlineStr">
        <is>
          <t>متر مربع سطح سقف</t>
        </is>
      </c>
      <c r="F59" s="71" t="n">
        <v>300</v>
      </c>
      <c r="G59" s="72" t="n">
        <v>3</v>
      </c>
      <c r="H59" s="73">
        <f>F59/G59</f>
        <v/>
      </c>
    </row>
    <row r="60" ht="15.75" customHeight="1">
      <c r="B60" s="85" t="inlineStr">
        <is>
          <t>اجرای گل میخ سقف متال دک</t>
        </is>
      </c>
      <c r="C60" s="70" t="inlineStr">
        <is>
          <t>سقف متال دک</t>
        </is>
      </c>
      <c r="D60" s="74" t="inlineStr">
        <is>
          <t>اکیپ اجرای سقف متال دک 3 نفره</t>
        </is>
      </c>
      <c r="E60" s="74" t="inlineStr">
        <is>
          <t>متر مربع سطح سقف</t>
        </is>
      </c>
      <c r="F60" s="75" t="n">
        <v>300</v>
      </c>
      <c r="G60" s="76" t="n">
        <v>3</v>
      </c>
      <c r="H60" s="77">
        <f>F60/G60</f>
        <v/>
      </c>
    </row>
    <row r="61" ht="15.75" customHeight="1">
      <c r="B61" s="70" t="inlineStr">
        <is>
          <t>اجرای مش حرارتی سقف متال دک</t>
        </is>
      </c>
      <c r="C61" s="70" t="inlineStr">
        <is>
          <t>سقف متال دک</t>
        </is>
      </c>
      <c r="D61" s="70" t="inlineStr">
        <is>
          <t>اکیپ اجرای سقف متال دک 3 نفره</t>
        </is>
      </c>
      <c r="E61" s="70" t="inlineStr">
        <is>
          <t>متر مربع سطح سقف</t>
        </is>
      </c>
      <c r="F61" s="71" t="n">
        <v>75</v>
      </c>
      <c r="G61" s="72" t="n">
        <v>3</v>
      </c>
      <c r="H61" s="73">
        <f>F61/G61</f>
        <v/>
      </c>
    </row>
    <row r="62" ht="15.75" customHeight="1">
      <c r="B62" s="74" t="inlineStr">
        <is>
          <t>بتن ریزی سقف متال دک</t>
        </is>
      </c>
      <c r="C62" s="70" t="inlineStr">
        <is>
          <t>سقف متال دک</t>
        </is>
      </c>
      <c r="D62" s="74" t="inlineStr">
        <is>
          <t>اکیپ بتن ریزی با پمپ بتن 6 نفره</t>
        </is>
      </c>
      <c r="E62" s="74" t="inlineStr">
        <is>
          <t>متر مربع سطح سقف</t>
        </is>
      </c>
      <c r="F62" s="75" t="n">
        <v>350</v>
      </c>
      <c r="G62" s="76" t="n">
        <v>6</v>
      </c>
      <c r="H62" s="77" t="n">
        <v>58</v>
      </c>
    </row>
    <row r="63" ht="15.75" customHeight="1">
      <c r="B63" s="128" t="inlineStr">
        <is>
          <t>سقف کامپوزیت</t>
        </is>
      </c>
      <c r="C63" s="126" t="n"/>
      <c r="D63" s="126" t="n"/>
      <c r="E63" s="126" t="n"/>
      <c r="F63" s="126" t="n"/>
      <c r="G63" s="126" t="n"/>
      <c r="H63" s="127" t="n"/>
    </row>
    <row r="64" ht="15.75" customHeight="1">
      <c r="B64" s="85" t="inlineStr">
        <is>
          <t>قالب بندی سقف کامپوزیت</t>
        </is>
      </c>
      <c r="C64" s="70" t="inlineStr">
        <is>
          <t>سقف کامپوزیت</t>
        </is>
      </c>
      <c r="D64" s="74" t="inlineStr">
        <is>
          <t>اکیپ اجرای سقف کامپوزیت 5 نفره</t>
        </is>
      </c>
      <c r="E64" s="74" t="inlineStr">
        <is>
          <t>متر مربع سطح سقف</t>
        </is>
      </c>
      <c r="F64" s="86" t="n">
        <v>120</v>
      </c>
      <c r="G64" s="76" t="n">
        <v>5</v>
      </c>
      <c r="H64" s="77">
        <f>F64/G64</f>
        <v/>
      </c>
    </row>
    <row r="65" ht="15.75" customHeight="1">
      <c r="B65" s="87" t="inlineStr">
        <is>
          <t>اجرای برشگیرسقف کامپوزیت</t>
        </is>
      </c>
      <c r="C65" s="70" t="inlineStr">
        <is>
          <t>سقف کامپوزیت</t>
        </is>
      </c>
      <c r="D65" s="70" t="inlineStr">
        <is>
          <t>اکیپ اجرای سقف کامپوزیت 5 نفره</t>
        </is>
      </c>
      <c r="E65" s="70" t="inlineStr">
        <is>
          <t>متر مربع سطح سقف</t>
        </is>
      </c>
      <c r="F65" s="71" t="n">
        <v>260</v>
      </c>
      <c r="G65" s="72" t="n">
        <v>5</v>
      </c>
      <c r="H65" s="73">
        <f>F65/G65</f>
        <v/>
      </c>
    </row>
    <row r="66" ht="15.75" customHeight="1">
      <c r="B66" s="85" t="inlineStr">
        <is>
          <t>اجرای مش سقف کامپوزیت</t>
        </is>
      </c>
      <c r="C66" s="70" t="inlineStr">
        <is>
          <t>سقف کامپوزیت</t>
        </is>
      </c>
      <c r="D66" s="74" t="inlineStr">
        <is>
          <t>اکیپ اجرای سقف کامپوزیت 5 نفره</t>
        </is>
      </c>
      <c r="E66" s="74" t="inlineStr">
        <is>
          <t>متر مربع سطح سقف</t>
        </is>
      </c>
      <c r="F66" s="86" t="n">
        <v>75</v>
      </c>
      <c r="G66" s="76" t="n">
        <v>5</v>
      </c>
      <c r="H66" s="77">
        <f>F66/G66</f>
        <v/>
      </c>
    </row>
    <row r="67" ht="15.75" customHeight="1">
      <c r="B67" s="87" t="inlineStr">
        <is>
          <t>بتن ریزی سقف کامپوزیت</t>
        </is>
      </c>
      <c r="C67" s="70" t="inlineStr">
        <is>
          <t>سقف کامپوزیت</t>
        </is>
      </c>
      <c r="D67" s="70" t="inlineStr">
        <is>
          <t>اکیپ اجرای سقف کامپوزیت 5 نفره</t>
        </is>
      </c>
      <c r="E67" s="70" t="inlineStr">
        <is>
          <t>متر مربع سطح سقف</t>
        </is>
      </c>
      <c r="F67" s="88" t="n">
        <v>350</v>
      </c>
      <c r="G67" s="72" t="n">
        <v>5</v>
      </c>
      <c r="H67" s="73" t="n">
        <v>70</v>
      </c>
    </row>
    <row r="68" ht="20.1" customHeight="1">
      <c r="B68" s="125" t="inlineStr">
        <is>
          <t>سفت کاری</t>
        </is>
      </c>
      <c r="C68" s="126" t="n"/>
      <c r="D68" s="126" t="n"/>
      <c r="E68" s="126" t="n"/>
      <c r="F68" s="126" t="n"/>
      <c r="G68" s="126" t="n"/>
      <c r="H68" s="127" t="n"/>
    </row>
    <row r="69" ht="15.75" customHeight="1">
      <c r="B69" s="128" t="inlineStr">
        <is>
          <t>حفر  چاه</t>
        </is>
      </c>
      <c r="C69" s="126" t="n"/>
      <c r="D69" s="126" t="n"/>
      <c r="E69" s="126" t="n"/>
      <c r="F69" s="126" t="n"/>
      <c r="G69" s="126" t="n"/>
      <c r="H69" s="127" t="n"/>
    </row>
    <row r="70" ht="15.75" customHeight="1">
      <c r="B70" s="89" t="inlineStr">
        <is>
          <t>حفر چاه</t>
        </is>
      </c>
      <c r="C70" s="90" t="inlineStr">
        <is>
          <t>حفر  چاه</t>
        </is>
      </c>
      <c r="D70" s="89" t="inlineStr">
        <is>
          <t>اکیپ حفر چاه 2 نفره</t>
        </is>
      </c>
      <c r="E70" s="89" t="inlineStr">
        <is>
          <t>مترمکعب حجم انباره</t>
        </is>
      </c>
      <c r="F70" s="91" t="n">
        <v>15</v>
      </c>
      <c r="G70" s="92" t="n">
        <v>2</v>
      </c>
      <c r="H70" s="77">
        <f>F70/G70</f>
        <v/>
      </c>
    </row>
    <row r="71" ht="15.75" customHeight="1">
      <c r="B71" s="128" t="inlineStr">
        <is>
          <t>دیوارچینی</t>
        </is>
      </c>
      <c r="C71" s="126" t="n"/>
      <c r="D71" s="126" t="n"/>
      <c r="E71" s="126" t="n"/>
      <c r="F71" s="126" t="n"/>
      <c r="G71" s="126" t="n"/>
      <c r="H71" s="127" t="n"/>
    </row>
    <row r="72" ht="15.75" customHeight="1">
      <c r="B72" s="89" t="inlineStr">
        <is>
          <t>یک رگه چینی/ آجر فشاری</t>
        </is>
      </c>
      <c r="C72" s="90" t="inlineStr">
        <is>
          <t>دیوارچینی</t>
        </is>
      </c>
      <c r="D72" s="89" t="inlineStr">
        <is>
          <t>اکیپ یک رگه چینی 3 نفره</t>
        </is>
      </c>
      <c r="E72" s="89" t="inlineStr">
        <is>
          <t>متر طول</t>
        </is>
      </c>
      <c r="F72" s="91" t="n">
        <v>55</v>
      </c>
      <c r="G72" s="92" t="n">
        <v>3</v>
      </c>
      <c r="H72" s="77">
        <f>F72/G72</f>
        <v/>
      </c>
    </row>
    <row r="73" ht="15.75" customHeight="1">
      <c r="B73" s="89" t="inlineStr">
        <is>
          <t>تیغه چینی/ بلوک سیمانی</t>
        </is>
      </c>
      <c r="C73" s="90" t="inlineStr">
        <is>
          <t>دیوارچینی</t>
        </is>
      </c>
      <c r="D73" s="89" t="inlineStr">
        <is>
          <t>اکیپ تیغه چینی 2 نفره</t>
        </is>
      </c>
      <c r="E73" s="89" t="inlineStr">
        <is>
          <t>متر مربع دیوار 10 سانت یا معادل آن</t>
        </is>
      </c>
      <c r="F73" s="91" t="n">
        <v>25</v>
      </c>
      <c r="G73" s="92" t="n">
        <v>2</v>
      </c>
      <c r="H73" s="77">
        <f>F73/G73</f>
        <v/>
      </c>
    </row>
    <row r="74" ht="15.75" customHeight="1">
      <c r="B74" s="89" t="inlineStr">
        <is>
          <t>تیغه چینی/ لیکا</t>
        </is>
      </c>
      <c r="C74" s="90" t="inlineStr">
        <is>
          <t>دیوارچینی</t>
        </is>
      </c>
      <c r="D74" s="89" t="inlineStr">
        <is>
          <t>اکیپ تیغه چینی 2 نفره</t>
        </is>
      </c>
      <c r="E74" s="89" t="inlineStr">
        <is>
          <t>متر مربع دیوار 10 سانت یا معادل آن</t>
        </is>
      </c>
      <c r="F74" s="91" t="n">
        <v>30</v>
      </c>
      <c r="G74" s="92" t="n">
        <v>2</v>
      </c>
      <c r="H74" s="77">
        <f>F74/G74</f>
        <v/>
      </c>
    </row>
    <row r="75" ht="15.75" customHeight="1">
      <c r="B75" s="89" t="inlineStr">
        <is>
          <t>آجرکاری پله/ آجر فشاری</t>
        </is>
      </c>
      <c r="C75" s="90" t="inlineStr">
        <is>
          <t>دیوارچینی</t>
        </is>
      </c>
      <c r="D75" s="89" t="inlineStr">
        <is>
          <t>اکیپ تیغه چینی 2 نفره</t>
        </is>
      </c>
      <c r="E75" s="89" t="inlineStr">
        <is>
          <t>تعداد پله</t>
        </is>
      </c>
      <c r="F75" s="91" t="n">
        <v>20</v>
      </c>
      <c r="G75" s="92" t="n">
        <v>2</v>
      </c>
      <c r="H75" s="77">
        <f>F75/G75</f>
        <v/>
      </c>
    </row>
    <row r="76" ht="15.75" customHeight="1">
      <c r="B76" s="128" t="inlineStr">
        <is>
          <t>ایزولاسیون رطوبتی با ایزوگام</t>
        </is>
      </c>
      <c r="C76" s="126" t="n"/>
      <c r="D76" s="126" t="n"/>
      <c r="E76" s="126" t="n"/>
      <c r="F76" s="126" t="n"/>
      <c r="G76" s="126" t="n"/>
      <c r="H76" s="127" t="n"/>
    </row>
    <row r="77" ht="15.75" customHeight="1">
      <c r="B77" s="89" t="inlineStr">
        <is>
          <t>ایزولاسیون کف/  ایزوگام</t>
        </is>
      </c>
      <c r="C77" s="90" t="inlineStr">
        <is>
          <t>ایزولاسیون رطوبتی با ایزوگام</t>
        </is>
      </c>
      <c r="D77" s="89" t="inlineStr">
        <is>
          <t>اکیپ ایزولاسیون 2 نفره</t>
        </is>
      </c>
      <c r="E77" s="89" t="inlineStr">
        <is>
          <t>متر مربع</t>
        </is>
      </c>
      <c r="F77" s="91" t="n">
        <v>45</v>
      </c>
      <c r="G77" s="92" t="n">
        <v>2</v>
      </c>
      <c r="H77" s="77">
        <f>F77/G77</f>
        <v/>
      </c>
    </row>
    <row r="78" ht="15.75" customHeight="1">
      <c r="B78" s="89" t="inlineStr">
        <is>
          <t>ایزولاسیون دیوار/ ایزوگام</t>
        </is>
      </c>
      <c r="C78" s="90" t="inlineStr">
        <is>
          <t>ایزولاسیون رطوبتی با ایزوگام</t>
        </is>
      </c>
      <c r="D78" s="89" t="inlineStr">
        <is>
          <t>اکیپ ایزولاسیون 2 نفره</t>
        </is>
      </c>
      <c r="E78" s="89" t="inlineStr">
        <is>
          <t>متر مربع</t>
        </is>
      </c>
      <c r="F78" s="91" t="n">
        <v>60</v>
      </c>
      <c r="G78" s="92" t="n">
        <v>2</v>
      </c>
      <c r="H78" s="77">
        <f>F78/G78</f>
        <v/>
      </c>
    </row>
    <row r="79" ht="15.75" customHeight="1">
      <c r="B79" s="128" t="inlineStr">
        <is>
          <t>پوکه ریزی معدنی و اندود</t>
        </is>
      </c>
      <c r="C79" s="126" t="n"/>
      <c r="D79" s="126" t="n"/>
      <c r="E79" s="126" t="n"/>
      <c r="F79" s="126" t="n"/>
      <c r="G79" s="126" t="n"/>
      <c r="H79" s="127" t="n"/>
    </row>
    <row r="80" ht="15.75" customHeight="1">
      <c r="B80" s="89" t="inlineStr">
        <is>
          <t>پوکه ریزی</t>
        </is>
      </c>
      <c r="C80" s="90" t="inlineStr">
        <is>
          <t>پوکه ریزی معدنی و اندود</t>
        </is>
      </c>
      <c r="D80" s="89" t="inlineStr">
        <is>
          <t>اکیپ بنایی 2 نفره</t>
        </is>
      </c>
      <c r="E80" s="89" t="inlineStr">
        <is>
          <t>متر مربع</t>
        </is>
      </c>
      <c r="F80" s="91" t="n">
        <v>60</v>
      </c>
      <c r="G80" s="92" t="n">
        <v>2</v>
      </c>
      <c r="H80" s="77">
        <f>F80/G80</f>
        <v/>
      </c>
    </row>
    <row r="81" ht="15.75" customHeight="1">
      <c r="B81" s="89" t="inlineStr">
        <is>
          <t>پوکه ریزی و شیب بندی</t>
        </is>
      </c>
      <c r="C81" s="90" t="inlineStr">
        <is>
          <t>پوکه ریزی معدنی و اندود</t>
        </is>
      </c>
      <c r="D81" s="89" t="inlineStr">
        <is>
          <t>اکیپ بنایی 2 نفره</t>
        </is>
      </c>
      <c r="E81" s="89" t="inlineStr">
        <is>
          <t>متر مربع</t>
        </is>
      </c>
      <c r="F81" s="91" t="n">
        <v>50</v>
      </c>
      <c r="G81" s="92" t="n">
        <v>2</v>
      </c>
      <c r="H81" s="77">
        <f>F81/G81</f>
        <v/>
      </c>
    </row>
    <row r="82" ht="15.75" customHeight="1">
      <c r="B82" s="89" t="inlineStr">
        <is>
          <t>اجرای اندود محافظ عایق</t>
        </is>
      </c>
      <c r="C82" s="90" t="inlineStr">
        <is>
          <t>پوکه ریزی معدنی و اندود</t>
        </is>
      </c>
      <c r="D82" s="89" t="inlineStr">
        <is>
          <t>اکیپ بنایی 2 نفره</t>
        </is>
      </c>
      <c r="E82" s="89" t="inlineStr">
        <is>
          <t>متر مربع</t>
        </is>
      </c>
      <c r="F82" s="91" t="n">
        <v>75</v>
      </c>
      <c r="G82" s="92" t="n">
        <v>2</v>
      </c>
      <c r="H82" s="77">
        <f>F82/G82</f>
        <v/>
      </c>
    </row>
    <row r="83" ht="15.75" customHeight="1">
      <c r="B83" s="89" t="inlineStr">
        <is>
          <t>اجرای فوم بتن</t>
        </is>
      </c>
      <c r="C83" s="90" t="inlineStr">
        <is>
          <t>پوکه ریزی معدنی و اندود</t>
        </is>
      </c>
      <c r="D83" s="89" t="inlineStr">
        <is>
          <t>اکیپ اجرای فوم بتن</t>
        </is>
      </c>
      <c r="E83" s="89" t="inlineStr">
        <is>
          <t>متر مربع</t>
        </is>
      </c>
      <c r="F83" s="91" t="n">
        <v>150</v>
      </c>
      <c r="G83" s="92" t="n">
        <v>2</v>
      </c>
      <c r="H83" s="77">
        <f>F83/G83</f>
        <v/>
      </c>
    </row>
    <row r="84" ht="15.75" customHeight="1">
      <c r="B84" s="89" t="inlineStr">
        <is>
          <t>کف سازی/ تسطیح و کوبیدن خاک</t>
        </is>
      </c>
      <c r="C84" s="90" t="inlineStr">
        <is>
          <t>پوکه ریزی معدنی و اندود</t>
        </is>
      </c>
      <c r="D84" s="89" t="inlineStr">
        <is>
          <t>اکیپ بنایی 2 نفره</t>
        </is>
      </c>
      <c r="E84" s="89" t="inlineStr">
        <is>
          <t>متر مربع</t>
        </is>
      </c>
      <c r="F84" s="91" t="n">
        <v>40</v>
      </c>
      <c r="G84" s="92" t="n">
        <v>2</v>
      </c>
      <c r="H84" s="77">
        <f>F84/G84</f>
        <v/>
      </c>
    </row>
    <row r="85" ht="15.75" customHeight="1">
      <c r="B85" s="89" t="inlineStr">
        <is>
          <t>کف سازی زمین طبیعی/ بلوکاژ</t>
        </is>
      </c>
      <c r="C85" s="90" t="inlineStr">
        <is>
          <t>پوکه ریزی معدنی و اندود</t>
        </is>
      </c>
      <c r="D85" s="89" t="inlineStr">
        <is>
          <t>اکیپ بنایی 2 نفره</t>
        </is>
      </c>
      <c r="E85" s="89" t="inlineStr">
        <is>
          <t>متر مربع</t>
        </is>
      </c>
      <c r="F85" s="91" t="n">
        <v>80</v>
      </c>
      <c r="G85" s="92" t="n">
        <v>2</v>
      </c>
      <c r="H85" s="77">
        <f>F85/G85</f>
        <v/>
      </c>
    </row>
    <row r="86" ht="15.75" customHeight="1">
      <c r="B86" s="128" t="inlineStr">
        <is>
          <t>سقف کاذب کناف</t>
        </is>
      </c>
      <c r="C86" s="126" t="n"/>
      <c r="D86" s="126" t="n"/>
      <c r="E86" s="126" t="n"/>
      <c r="F86" s="126" t="n"/>
      <c r="G86" s="126" t="n"/>
      <c r="H86" s="127" t="n"/>
    </row>
    <row r="87" ht="15.75" customHeight="1">
      <c r="B87" s="89" t="inlineStr">
        <is>
          <t>زیرسازی سقف کاذب/ کناف</t>
        </is>
      </c>
      <c r="C87" s="90" t="inlineStr">
        <is>
          <t>سقف کاذب کناف</t>
        </is>
      </c>
      <c r="D87" s="89" t="inlineStr">
        <is>
          <t>اکیپ کناف کار 2 نفره</t>
        </is>
      </c>
      <c r="E87" s="89" t="inlineStr">
        <is>
          <t>متر مربع</t>
        </is>
      </c>
      <c r="F87" s="91" t="n">
        <v>40</v>
      </c>
      <c r="G87" s="92" t="n">
        <v>2</v>
      </c>
      <c r="H87" s="77">
        <f>F87/G87</f>
        <v/>
      </c>
    </row>
    <row r="88" ht="15.75" customHeight="1">
      <c r="B88" s="89" t="inlineStr">
        <is>
          <t>پانل ریزی سقف کاذب/ کناف</t>
        </is>
      </c>
      <c r="C88" s="90" t="inlineStr">
        <is>
          <t>سقف کاذب کناف</t>
        </is>
      </c>
      <c r="D88" s="89" t="inlineStr">
        <is>
          <t>اکیپ کناف کار 2 نفره</t>
        </is>
      </c>
      <c r="E88" s="89" t="inlineStr">
        <is>
          <t>متر مربع</t>
        </is>
      </c>
      <c r="F88" s="91" t="n">
        <v>44</v>
      </c>
      <c r="G88" s="92" t="n">
        <v>2</v>
      </c>
      <c r="H88" s="77">
        <f>F88/G88</f>
        <v/>
      </c>
    </row>
    <row r="89" ht="15.75" customHeight="1">
      <c r="B89" s="89" t="inlineStr">
        <is>
          <t>بتونه کاری سقف کاذب/ کناف</t>
        </is>
      </c>
      <c r="C89" s="90" t="inlineStr">
        <is>
          <t>سقف کاذب کناف</t>
        </is>
      </c>
      <c r="D89" s="89" t="inlineStr">
        <is>
          <t>اکیپ کناف کار 2 نفره</t>
        </is>
      </c>
      <c r="E89" s="89" t="inlineStr">
        <is>
          <t>متر مربع</t>
        </is>
      </c>
      <c r="F89" s="91" t="n">
        <v>60</v>
      </c>
      <c r="G89" s="92" t="n">
        <v>2</v>
      </c>
      <c r="H89" s="77">
        <f>F89/G89</f>
        <v/>
      </c>
    </row>
    <row r="90" ht="15.75" customHeight="1">
      <c r="B90" s="89" t="inlineStr">
        <is>
          <t>تایل ریزی سقف کاذب/ کناف</t>
        </is>
      </c>
      <c r="C90" s="90" t="inlineStr">
        <is>
          <t>سقف کاذب کناف</t>
        </is>
      </c>
      <c r="D90" s="89" t="inlineStr">
        <is>
          <t>اکیپ کناف کار 2 نفره</t>
        </is>
      </c>
      <c r="E90" s="89" t="inlineStr">
        <is>
          <t>متر مربع</t>
        </is>
      </c>
      <c r="F90" s="91" t="n">
        <v>120</v>
      </c>
      <c r="G90" s="92" t="n">
        <v>2</v>
      </c>
      <c r="H90" s="77">
        <f>F90/G90</f>
        <v/>
      </c>
    </row>
    <row r="91" ht="15.75" customHeight="1">
      <c r="B91" s="128" t="inlineStr">
        <is>
          <t>زیرسازی و نقاشی سطوح گچی</t>
        </is>
      </c>
      <c r="C91" s="126" t="n"/>
      <c r="D91" s="126" t="n"/>
      <c r="E91" s="126" t="n"/>
      <c r="F91" s="126" t="n"/>
      <c r="G91" s="126" t="n"/>
      <c r="H91" s="127" t="n"/>
    </row>
    <row r="92" ht="15.75" customHeight="1">
      <c r="B92" s="89" t="inlineStr">
        <is>
          <t>زیرسازی و نقاشی سقف/ سطوح گچی</t>
        </is>
      </c>
      <c r="C92" s="90" t="inlineStr">
        <is>
          <t>زیرسازی و نقاشی سطوح گچی</t>
        </is>
      </c>
      <c r="D92" s="89" t="inlineStr">
        <is>
          <t>اکیپ نقاشی 1 نفره</t>
        </is>
      </c>
      <c r="E92" s="89" t="inlineStr">
        <is>
          <t>متر مربع</t>
        </is>
      </c>
      <c r="F92" s="91" t="n">
        <v>28</v>
      </c>
      <c r="G92" s="92" t="n">
        <v>1</v>
      </c>
      <c r="H92" s="77">
        <f>F92/G92</f>
        <v/>
      </c>
    </row>
    <row r="93" ht="15.75" customHeight="1">
      <c r="B93" s="89" t="inlineStr">
        <is>
          <t>زیرسازی و نقاشی دیوار/ سطوح گچی</t>
        </is>
      </c>
      <c r="C93" s="90" t="inlineStr">
        <is>
          <t>زیرسازی و نقاشی سطوح گچی</t>
        </is>
      </c>
      <c r="D93" s="89" t="inlineStr">
        <is>
          <t>اکیپ نقاشی 1 نفره</t>
        </is>
      </c>
      <c r="E93" s="89" t="inlineStr">
        <is>
          <t>متر مربع</t>
        </is>
      </c>
      <c r="F93" s="91" t="n">
        <v>32</v>
      </c>
      <c r="G93" s="92" t="n">
        <v>1</v>
      </c>
      <c r="H93" s="77">
        <f>F93/G93</f>
        <v/>
      </c>
    </row>
    <row r="94" ht="15.75" customHeight="1">
      <c r="B94" s="89" t="inlineStr">
        <is>
          <t>زیرسازی و ماستیک دیوار</t>
        </is>
      </c>
      <c r="C94" s="90" t="inlineStr">
        <is>
          <t>زیرسازی و نقاشی سطوح گچی</t>
        </is>
      </c>
      <c r="D94" s="89" t="inlineStr">
        <is>
          <t>اکیپ نقاشی 1 نفره</t>
        </is>
      </c>
      <c r="E94" s="89" t="inlineStr">
        <is>
          <t>متر مربع</t>
        </is>
      </c>
      <c r="F94" s="91" t="n">
        <v>30</v>
      </c>
      <c r="G94" s="92" t="n">
        <v>1</v>
      </c>
      <c r="H94" s="77">
        <f>F94/G94</f>
        <v/>
      </c>
    </row>
    <row r="95" ht="15.75" customHeight="1">
      <c r="B95" s="128" t="inlineStr">
        <is>
          <t>نقاشی سطوح سیمانی</t>
        </is>
      </c>
      <c r="C95" s="126" t="n"/>
      <c r="D95" s="126" t="n"/>
      <c r="E95" s="126" t="n"/>
      <c r="F95" s="126" t="n"/>
      <c r="G95" s="126" t="n"/>
      <c r="H95" s="127" t="n"/>
    </row>
    <row r="96" ht="15.75" customHeight="1">
      <c r="B96" s="89" t="inlineStr">
        <is>
          <t>نقاشی دیوار/ سطوح سیمانی</t>
        </is>
      </c>
      <c r="C96" s="90" t="inlineStr">
        <is>
          <t>نقاشی سطوح سیمانی</t>
        </is>
      </c>
      <c r="D96" s="89" t="inlineStr">
        <is>
          <t>اکیپ نقاشی 1 نفره</t>
        </is>
      </c>
      <c r="E96" s="89" t="inlineStr">
        <is>
          <t>متر مربع</t>
        </is>
      </c>
      <c r="F96" s="91" t="n">
        <v>45</v>
      </c>
      <c r="G96" s="92" t="n">
        <v>1</v>
      </c>
      <c r="H96" s="77">
        <f>F96/G96</f>
        <v/>
      </c>
    </row>
    <row r="97" ht="15.75" customHeight="1">
      <c r="B97" s="89" t="inlineStr">
        <is>
          <t>نقاشی سقف/ سطوح سیمانی</t>
        </is>
      </c>
      <c r="C97" s="90" t="inlineStr">
        <is>
          <t>نقاشی سطوح سیمانی</t>
        </is>
      </c>
      <c r="D97" s="89" t="inlineStr">
        <is>
          <t>اکیپ نقاشی 1 نفره</t>
        </is>
      </c>
      <c r="E97" s="89" t="inlineStr">
        <is>
          <t>متر مربع</t>
        </is>
      </c>
      <c r="F97" s="91" t="n">
        <v>35</v>
      </c>
      <c r="G97" s="92" t="n">
        <v>1</v>
      </c>
      <c r="H97" s="77">
        <f>F97/G97</f>
        <v/>
      </c>
    </row>
    <row r="98" ht="15.75" customHeight="1">
      <c r="B98" s="89" t="inlineStr">
        <is>
          <t>اجرای رنگ ضد حریق</t>
        </is>
      </c>
      <c r="C98" s="90" t="inlineStr">
        <is>
          <t>نقاشی سطوح سیمانی</t>
        </is>
      </c>
      <c r="D98" s="89" t="inlineStr">
        <is>
          <t>اکیپ نقاشی ضد حریق 2 نفره</t>
        </is>
      </c>
      <c r="E98" s="89" t="inlineStr">
        <is>
          <t>متر مربع</t>
        </is>
      </c>
      <c r="F98" s="91" t="n">
        <v>96</v>
      </c>
      <c r="G98" s="92" t="n">
        <v>2</v>
      </c>
      <c r="H98" s="77">
        <f>F98/G98</f>
        <v/>
      </c>
    </row>
    <row r="99" ht="15.75" customHeight="1">
      <c r="B99" s="128" t="inlineStr">
        <is>
          <t>شاسی کشی و رابیتس بندی</t>
        </is>
      </c>
      <c r="C99" s="126" t="n"/>
      <c r="D99" s="126" t="n"/>
      <c r="E99" s="126" t="n"/>
      <c r="F99" s="126" t="n"/>
      <c r="G99" s="126" t="n"/>
      <c r="H99" s="127" t="n"/>
    </row>
    <row r="100" ht="15.75" customHeight="1">
      <c r="B100" s="89" t="inlineStr">
        <is>
          <t>شاسی کشی سقف کاذب</t>
        </is>
      </c>
      <c r="C100" s="90" t="inlineStr">
        <is>
          <t>شاسی کشی و رابیتس بندی</t>
        </is>
      </c>
      <c r="D100" s="89" t="inlineStr">
        <is>
          <t>اکیپ شاسی کشی سقف کاذب 2 نفره</t>
        </is>
      </c>
      <c r="E100" s="89" t="inlineStr">
        <is>
          <t>متر مربع</t>
        </is>
      </c>
      <c r="F100" s="91" t="n">
        <v>25</v>
      </c>
      <c r="G100" s="92" t="n">
        <v>2</v>
      </c>
      <c r="H100" s="77">
        <f>F100/G100</f>
        <v/>
      </c>
    </row>
    <row r="101" ht="15.75" customHeight="1">
      <c r="B101" s="89" t="inlineStr">
        <is>
          <t>رابیتس بندی سقف کاذب</t>
        </is>
      </c>
      <c r="C101" s="90" t="inlineStr">
        <is>
          <t>شاسی کشی و رابیتس بندی</t>
        </is>
      </c>
      <c r="D101" s="89" t="inlineStr">
        <is>
          <t>اکیپ رابیتس بندی سقف کاذب 1 نفره</t>
        </is>
      </c>
      <c r="E101" s="89" t="inlineStr">
        <is>
          <t>متر مربع</t>
        </is>
      </c>
      <c r="F101" s="91" t="n">
        <v>50</v>
      </c>
      <c r="G101" s="92" t="n">
        <v>1</v>
      </c>
      <c r="H101" s="77">
        <f>F101/G101</f>
        <v/>
      </c>
    </row>
    <row r="102" ht="15.75" customHeight="1">
      <c r="B102" s="89" t="inlineStr">
        <is>
          <t>شاسی کشی و رابیتس بندی دور ستون های میانی</t>
        </is>
      </c>
      <c r="C102" s="90" t="inlineStr">
        <is>
          <t>شاسی کشی و رابیتس بندی</t>
        </is>
      </c>
      <c r="D102" s="89" t="inlineStr">
        <is>
          <t>اکیپ شاسی کشی سقف کاذب 2 نفره</t>
        </is>
      </c>
      <c r="E102" s="89" t="inlineStr">
        <is>
          <t>تعداد ستون</t>
        </is>
      </c>
      <c r="F102" s="91" t="n">
        <v>3</v>
      </c>
      <c r="G102" s="92" t="n">
        <v>2</v>
      </c>
      <c r="H102" s="77">
        <f>F102/G102</f>
        <v/>
      </c>
    </row>
    <row r="103" ht="15.75" customHeight="1">
      <c r="B103" s="128" t="inlineStr">
        <is>
          <t>گچ کاری</t>
        </is>
      </c>
      <c r="C103" s="126" t="n"/>
      <c r="D103" s="126" t="n"/>
      <c r="E103" s="126" t="n"/>
      <c r="F103" s="126" t="n"/>
      <c r="G103" s="126" t="n"/>
      <c r="H103" s="127" t="n"/>
    </row>
    <row r="104" ht="15.75" customHeight="1">
      <c r="B104" s="97" t="inlineStr">
        <is>
          <t>اجرای گچ و خاک</t>
        </is>
      </c>
      <c r="C104" s="90" t="inlineStr">
        <is>
          <t>متفرقه</t>
        </is>
      </c>
      <c r="D104" s="89" t="inlineStr">
        <is>
          <t>اکیپ گچ و خاک 3 نفره</t>
        </is>
      </c>
      <c r="E104" s="89" t="inlineStr">
        <is>
          <t>متر مربع</t>
        </is>
      </c>
      <c r="F104" s="91" t="n">
        <v>50</v>
      </c>
      <c r="G104" s="76" t="n">
        <v>3</v>
      </c>
      <c r="H104" s="105" t="n">
        <v>17</v>
      </c>
    </row>
    <row r="105" ht="15.75" customHeight="1">
      <c r="B105" s="89" t="inlineStr">
        <is>
          <t>گچ کاری آستر دیوار</t>
        </is>
      </c>
      <c r="C105" s="90" t="inlineStr">
        <is>
          <t>گچ کاری</t>
        </is>
      </c>
      <c r="D105" s="89" t="inlineStr">
        <is>
          <t>اکیپ گچ کاری 3 نفره</t>
        </is>
      </c>
      <c r="E105" s="89" t="inlineStr">
        <is>
          <t>متر مربع</t>
        </is>
      </c>
      <c r="F105" s="91" t="n">
        <v>50</v>
      </c>
      <c r="G105" s="92" t="n">
        <v>3</v>
      </c>
      <c r="H105" s="77">
        <f>F105/G105</f>
        <v/>
      </c>
    </row>
    <row r="106" ht="15.75" customHeight="1">
      <c r="B106" s="89" t="inlineStr">
        <is>
          <t>گچ کاری رویه دیوار</t>
        </is>
      </c>
      <c r="C106" s="90" t="inlineStr">
        <is>
          <t>گچ کاری</t>
        </is>
      </c>
      <c r="D106" s="89" t="inlineStr">
        <is>
          <t>اکیپ گچ کاری 3 نفره</t>
        </is>
      </c>
      <c r="E106" s="89" t="inlineStr">
        <is>
          <t>متر مربع</t>
        </is>
      </c>
      <c r="F106" s="91" t="n">
        <v>60</v>
      </c>
      <c r="G106" s="92" t="n">
        <v>3</v>
      </c>
      <c r="H106" s="77">
        <f>F106/G106</f>
        <v/>
      </c>
    </row>
    <row r="107" ht="15.75" customHeight="1">
      <c r="B107" s="89" t="inlineStr">
        <is>
          <t>گچ کاری و اجرای ابزار گچی سقف کاذب/ ابزار عادی</t>
        </is>
      </c>
      <c r="C107" s="90" t="inlineStr">
        <is>
          <t>گچ کاری</t>
        </is>
      </c>
      <c r="D107" s="89" t="inlineStr">
        <is>
          <t>اکیپ گچ کاری 3 نفره</t>
        </is>
      </c>
      <c r="E107" s="89" t="inlineStr">
        <is>
          <t>متر مربع</t>
        </is>
      </c>
      <c r="F107" s="91" t="n">
        <v>33</v>
      </c>
      <c r="G107" s="92" t="n">
        <v>3</v>
      </c>
      <c r="H107" s="77">
        <f>F107/G107</f>
        <v/>
      </c>
    </row>
    <row r="108" ht="15.75" customHeight="1">
      <c r="B108" s="89" t="inlineStr">
        <is>
          <t>گچ کاری و اجرای ابزار گچی سقف کاذب/ ابزار پیچیده</t>
        </is>
      </c>
      <c r="C108" s="90" t="inlineStr">
        <is>
          <t>گچ کاری</t>
        </is>
      </c>
      <c r="D108" s="89" t="inlineStr">
        <is>
          <t>اکیپ گچ کاری 3 نفره</t>
        </is>
      </c>
      <c r="E108" s="89" t="inlineStr">
        <is>
          <t>متر مربع</t>
        </is>
      </c>
      <c r="F108" s="91" t="n">
        <v>20</v>
      </c>
      <c r="G108" s="92" t="n">
        <v>3</v>
      </c>
      <c r="H108" s="77">
        <f>F108/G108</f>
        <v/>
      </c>
    </row>
    <row r="109" ht="15.75" customHeight="1">
      <c r="B109" s="89" t="inlineStr">
        <is>
          <t>گچ کاری سقف</t>
        </is>
      </c>
      <c r="C109" s="90" t="inlineStr">
        <is>
          <t>گچ کاری</t>
        </is>
      </c>
      <c r="D109" s="89" t="inlineStr">
        <is>
          <t>اکیپ گچ کاری 3 نفره</t>
        </is>
      </c>
      <c r="E109" s="89" t="inlineStr">
        <is>
          <t>متر مربع</t>
        </is>
      </c>
      <c r="F109" s="91" t="n">
        <v>44</v>
      </c>
      <c r="G109" s="92" t="n">
        <v>3</v>
      </c>
      <c r="H109" s="77">
        <f>F109/G109</f>
        <v/>
      </c>
    </row>
    <row r="110" ht="15.75" customHeight="1">
      <c r="B110" s="89" t="inlineStr">
        <is>
          <t>اجرای چفت گچی</t>
        </is>
      </c>
      <c r="C110" s="90" t="inlineStr">
        <is>
          <t>گچ کاری</t>
        </is>
      </c>
      <c r="D110" s="89" t="inlineStr">
        <is>
          <t>اکیپ گچ کاری 3 نفره</t>
        </is>
      </c>
      <c r="E110" s="89" t="inlineStr">
        <is>
          <t>متر طول</t>
        </is>
      </c>
      <c r="F110" s="91" t="n">
        <v>28</v>
      </c>
      <c r="G110" s="92" t="n">
        <v>3</v>
      </c>
      <c r="H110" s="77">
        <f>F110/G110</f>
        <v/>
      </c>
    </row>
    <row r="111" ht="15.75" customHeight="1">
      <c r="B111" s="128" t="inlineStr">
        <is>
          <t>سیمان کاری</t>
        </is>
      </c>
      <c r="C111" s="126" t="n"/>
      <c r="D111" s="126" t="n"/>
      <c r="E111" s="126" t="n"/>
      <c r="F111" s="126" t="n"/>
      <c r="G111" s="126" t="n"/>
      <c r="H111" s="127" t="n"/>
    </row>
    <row r="112" ht="15.75" customHeight="1">
      <c r="B112" s="89" t="inlineStr">
        <is>
          <t>سیمان کاری آستر دیوار</t>
        </is>
      </c>
      <c r="C112" s="90" t="inlineStr">
        <is>
          <t>سیمان کاری</t>
        </is>
      </c>
      <c r="D112" s="89" t="inlineStr">
        <is>
          <t>اکیپ سیمان کاری 3 نفره</t>
        </is>
      </c>
      <c r="E112" s="89" t="inlineStr">
        <is>
          <t>متر مربع</t>
        </is>
      </c>
      <c r="F112" s="91" t="n">
        <v>50</v>
      </c>
      <c r="G112" s="92" t="n">
        <v>3</v>
      </c>
      <c r="H112" s="77">
        <f>F112/G112</f>
        <v/>
      </c>
    </row>
    <row r="113" ht="15.75" customHeight="1">
      <c r="B113" s="89" t="inlineStr">
        <is>
          <t>سیمان کاری رویه دیوار</t>
        </is>
      </c>
      <c r="C113" s="90" t="inlineStr">
        <is>
          <t>سیمان کاری</t>
        </is>
      </c>
      <c r="D113" s="89" t="inlineStr">
        <is>
          <t>اکیپ سیمان کاری 3 نفره</t>
        </is>
      </c>
      <c r="E113" s="89" t="inlineStr">
        <is>
          <t>متر مربع</t>
        </is>
      </c>
      <c r="F113" s="91" t="n">
        <v>75</v>
      </c>
      <c r="G113" s="92" t="n">
        <v>3</v>
      </c>
      <c r="H113" s="77">
        <f>F113/G113</f>
        <v/>
      </c>
    </row>
    <row r="114" ht="15.75" customHeight="1">
      <c r="B114" s="89" t="inlineStr">
        <is>
          <t>سیمان کاری سقف کاذب</t>
        </is>
      </c>
      <c r="C114" s="90" t="inlineStr">
        <is>
          <t>سیمان کاری</t>
        </is>
      </c>
      <c r="D114" s="89" t="inlineStr">
        <is>
          <t>اکیپ سیمان کاری 3 نفره</t>
        </is>
      </c>
      <c r="E114" s="89" t="inlineStr">
        <is>
          <t>متر مربع</t>
        </is>
      </c>
      <c r="F114" s="91" t="n">
        <v>30</v>
      </c>
      <c r="G114" s="92" t="n">
        <v>3</v>
      </c>
      <c r="H114" s="77">
        <f>F114/G114</f>
        <v/>
      </c>
    </row>
    <row r="115" ht="15.75" customHeight="1">
      <c r="B115" s="89" t="inlineStr">
        <is>
          <t>گیتی کاری سقف کاذب</t>
        </is>
      </c>
      <c r="C115" s="90" t="inlineStr">
        <is>
          <t>سیمان کاری</t>
        </is>
      </c>
      <c r="D115" s="89" t="inlineStr">
        <is>
          <t>اکیپ سیمان کاری 3 نفره</t>
        </is>
      </c>
      <c r="E115" s="89" t="inlineStr">
        <is>
          <t>متر مربع</t>
        </is>
      </c>
      <c r="F115" s="91" t="n">
        <v>15</v>
      </c>
      <c r="G115" s="92" t="n">
        <v>3</v>
      </c>
      <c r="H115" s="77">
        <f>F115/G115</f>
        <v/>
      </c>
    </row>
    <row r="116" ht="15.75" customHeight="1">
      <c r="B116" s="128" t="inlineStr">
        <is>
          <t>کارهای فلزی سبک</t>
        </is>
      </c>
      <c r="C116" s="126" t="n"/>
      <c r="D116" s="126" t="n"/>
      <c r="E116" s="126" t="n"/>
      <c r="F116" s="126" t="n"/>
      <c r="G116" s="126" t="n"/>
      <c r="H116" s="127" t="n"/>
    </row>
    <row r="117" ht="15.75" customHeight="1">
      <c r="B117" s="89" t="inlineStr">
        <is>
          <t>نصب ساب فریم پنجره</t>
        </is>
      </c>
      <c r="C117" s="90" t="inlineStr">
        <is>
          <t>کارهای فلزی سبک</t>
        </is>
      </c>
      <c r="D117" s="89" t="inlineStr">
        <is>
          <t>اکیپ بنایی 2 نفره</t>
        </is>
      </c>
      <c r="E117" s="89" t="inlineStr">
        <is>
          <t>تعداد</t>
        </is>
      </c>
      <c r="F117" s="91" t="n">
        <v>6</v>
      </c>
      <c r="G117" s="92" t="n">
        <v>2</v>
      </c>
      <c r="H117" s="77">
        <f>F117/G117</f>
        <v/>
      </c>
    </row>
    <row r="118" ht="15.75" customHeight="1">
      <c r="B118" s="89" t="inlineStr">
        <is>
          <t>نصب ساب فریم درب</t>
        </is>
      </c>
      <c r="C118" s="90" t="inlineStr">
        <is>
          <t>کارهای فلزی سبک</t>
        </is>
      </c>
      <c r="D118" s="89" t="inlineStr">
        <is>
          <t>اکیپ بنایی 2 نفره</t>
        </is>
      </c>
      <c r="E118" s="89" t="inlineStr">
        <is>
          <t>تعداد</t>
        </is>
      </c>
      <c r="F118" s="91" t="n">
        <v>6</v>
      </c>
      <c r="G118" s="92" t="n">
        <v>2</v>
      </c>
      <c r="H118" s="77">
        <f>F118/G118</f>
        <v/>
      </c>
    </row>
    <row r="119" ht="15.75" customHeight="1">
      <c r="B119" s="89" t="inlineStr">
        <is>
          <t>نصب وال پست</t>
        </is>
      </c>
      <c r="C119" s="90" t="inlineStr">
        <is>
          <t>کارهای فلزی سبک</t>
        </is>
      </c>
      <c r="D119" s="89" t="inlineStr">
        <is>
          <t>اکیپ جوشکاری 2 نفره</t>
        </is>
      </c>
      <c r="E119" s="89" t="inlineStr">
        <is>
          <t>تعداد</t>
        </is>
      </c>
      <c r="F119" s="91" t="n">
        <v>6</v>
      </c>
      <c r="G119" s="92" t="n">
        <v>2</v>
      </c>
      <c r="H119" s="77">
        <f>F119/G119</f>
        <v/>
      </c>
    </row>
    <row r="120" ht="15.75" customHeight="1">
      <c r="B120" s="93" t="inlineStr">
        <is>
          <t>زیرسازی فلزی ویترین</t>
        </is>
      </c>
      <c r="C120" s="90" t="inlineStr">
        <is>
          <t>کارهای فلزی سبک</t>
        </is>
      </c>
      <c r="D120" s="89" t="inlineStr">
        <is>
          <t>اکیپ جوشکاری 2 نفره</t>
        </is>
      </c>
      <c r="E120" s="89" t="inlineStr">
        <is>
          <t>متر طول ویترین</t>
        </is>
      </c>
      <c r="F120" s="91" t="n">
        <v>3.5</v>
      </c>
      <c r="G120" s="92" t="n">
        <v>2</v>
      </c>
      <c r="H120" s="77">
        <f>F120/G120</f>
        <v/>
      </c>
    </row>
    <row r="121" ht="15.75" customHeight="1">
      <c r="B121" s="89" t="inlineStr">
        <is>
          <t>نصب چهارچوب درب فلزی</t>
        </is>
      </c>
      <c r="C121" s="90" t="inlineStr">
        <is>
          <t>کارهای فلزی سبک</t>
        </is>
      </c>
      <c r="D121" s="89" t="inlineStr">
        <is>
          <t>اکیپ بنایی 2 نفره</t>
        </is>
      </c>
      <c r="E121" s="89" t="inlineStr">
        <is>
          <t>تعداد عرض 1 متر یا معادل آن</t>
        </is>
      </c>
      <c r="F121" s="91" t="n">
        <v>3</v>
      </c>
      <c r="G121" s="92" t="n">
        <v>2</v>
      </c>
      <c r="H121" s="77">
        <f>F121/G121</f>
        <v/>
      </c>
    </row>
    <row r="122" ht="15.75" customHeight="1">
      <c r="B122" s="89" t="inlineStr">
        <is>
          <t>نصب و نقاشی درب فلزی و یراق آلات</t>
        </is>
      </c>
      <c r="C122" s="90" t="inlineStr">
        <is>
          <t>کارهای فلزی سبک</t>
        </is>
      </c>
      <c r="D122" s="89" t="inlineStr">
        <is>
          <t>اکیپ نقاشی 1 نفره</t>
        </is>
      </c>
      <c r="E122" s="89" t="inlineStr">
        <is>
          <t>تعداد عرض 1 متر یا معادل آن</t>
        </is>
      </c>
      <c r="F122" s="91" t="n">
        <v>2</v>
      </c>
      <c r="G122" s="92" t="n">
        <v>1</v>
      </c>
      <c r="H122" s="77">
        <f>F122/G122</f>
        <v/>
      </c>
    </row>
    <row r="123" ht="15.75" customHeight="1">
      <c r="B123" s="89" t="inlineStr">
        <is>
          <t>نصب و نقاشی نرده فلزی/ دیتیل ساده</t>
        </is>
      </c>
      <c r="C123" s="90" t="inlineStr">
        <is>
          <t>کارهای فلزی سبک</t>
        </is>
      </c>
      <c r="D123" s="89" t="inlineStr">
        <is>
          <t>اکیپ جوشکاری 2 نفره</t>
        </is>
      </c>
      <c r="E123" s="89" t="inlineStr">
        <is>
          <t>متر طول</t>
        </is>
      </c>
      <c r="F123" s="91" t="n">
        <v>4</v>
      </c>
      <c r="G123" s="92" t="n">
        <v>2</v>
      </c>
      <c r="H123" s="77">
        <f>F123/G123</f>
        <v/>
      </c>
    </row>
    <row r="124" ht="15.75" customHeight="1">
      <c r="B124" s="89" t="inlineStr">
        <is>
          <t>نصب و نقاشی نرده فلزی/ دیتیل متوسط</t>
        </is>
      </c>
      <c r="C124" s="90" t="inlineStr">
        <is>
          <t>کارهای فلزی سبک</t>
        </is>
      </c>
      <c r="D124" s="89" t="inlineStr">
        <is>
          <t>اکیپ جوشکاری 2 نفره</t>
        </is>
      </c>
      <c r="E124" s="89" t="inlineStr">
        <is>
          <t>متر طول</t>
        </is>
      </c>
      <c r="F124" s="91" t="n">
        <v>10</v>
      </c>
      <c r="G124" s="92" t="n">
        <v>2</v>
      </c>
      <c r="H124" s="77">
        <f>F124/G124</f>
        <v/>
      </c>
    </row>
    <row r="125" ht="15.75" customHeight="1">
      <c r="B125" s="89" t="inlineStr">
        <is>
          <t>نصب و نقاشی نرده فلزی/ دیتیل پیچیده</t>
        </is>
      </c>
      <c r="C125" s="90" t="inlineStr">
        <is>
          <t>کارهای فلزی سبک</t>
        </is>
      </c>
      <c r="D125" s="89" t="inlineStr">
        <is>
          <t>اکیپ جوشکاری 2 نفره</t>
        </is>
      </c>
      <c r="E125" s="89" t="inlineStr">
        <is>
          <t>متر طول</t>
        </is>
      </c>
      <c r="F125" s="91" t="n">
        <v>2</v>
      </c>
      <c r="G125" s="92" t="n">
        <v>2</v>
      </c>
      <c r="H125" s="77">
        <f>F125/G125</f>
        <v/>
      </c>
    </row>
    <row r="126" ht="15.75" customHeight="1">
      <c r="B126" s="93" t="inlineStr">
        <is>
          <t>اجرای گاتر</t>
        </is>
      </c>
      <c r="C126" s="90" t="inlineStr">
        <is>
          <t>کارهای فلزی سبک</t>
        </is>
      </c>
      <c r="D126" s="89" t="inlineStr">
        <is>
          <t>اکیپ جوشکاری 2 نفره</t>
        </is>
      </c>
      <c r="E126" s="89" t="inlineStr">
        <is>
          <t>متر طول</t>
        </is>
      </c>
      <c r="F126" s="91" t="n">
        <v>9</v>
      </c>
      <c r="G126" s="92" t="n">
        <v>2</v>
      </c>
      <c r="H126" s="77">
        <f>F126/G126</f>
        <v/>
      </c>
    </row>
    <row r="127" ht="15.75" customHeight="1">
      <c r="B127" s="93" t="inlineStr">
        <is>
          <t>نصب و نقاشی دریچه گاتر</t>
        </is>
      </c>
      <c r="C127" s="90" t="inlineStr">
        <is>
          <t>کارهای فلزی سبک</t>
        </is>
      </c>
      <c r="D127" s="89" t="inlineStr">
        <is>
          <t>اکیپ نقاشی 1 نفره</t>
        </is>
      </c>
      <c r="E127" s="89" t="inlineStr">
        <is>
          <t>متر طول</t>
        </is>
      </c>
      <c r="F127" s="91" t="n">
        <v>5</v>
      </c>
      <c r="G127" s="92" t="n">
        <v>1</v>
      </c>
      <c r="H127" s="77">
        <f>F127/G127</f>
        <v/>
      </c>
    </row>
    <row r="128" ht="15.75" customHeight="1">
      <c r="B128" s="93" t="inlineStr">
        <is>
          <t>اجرای پوشش فلزی نورگیر</t>
        </is>
      </c>
      <c r="C128" s="90" t="inlineStr">
        <is>
          <t>کارهای فلزی سبک</t>
        </is>
      </c>
      <c r="D128" s="89" t="inlineStr">
        <is>
          <t>اکیپ جوشکاری 2 نفره</t>
        </is>
      </c>
      <c r="E128" s="89" t="inlineStr">
        <is>
          <t>تعداد</t>
        </is>
      </c>
      <c r="F128" s="91" t="n">
        <v>1</v>
      </c>
      <c r="G128" s="92" t="n">
        <v>2</v>
      </c>
      <c r="H128" s="77" t="n">
        <v>1</v>
      </c>
    </row>
    <row r="129" ht="15.75" customHeight="1">
      <c r="B129" s="93" t="inlineStr">
        <is>
          <t>نقاشی و نصب شیشه و یراق آلات پوشش نورگیر</t>
        </is>
      </c>
      <c r="C129" s="90" t="inlineStr">
        <is>
          <t>کارهای فلزی سبک</t>
        </is>
      </c>
      <c r="D129" s="89" t="inlineStr">
        <is>
          <t>اکیپ نقاشی 1 نفره</t>
        </is>
      </c>
      <c r="E129" s="89" t="inlineStr">
        <is>
          <t>تعداد</t>
        </is>
      </c>
      <c r="F129" s="91" t="n">
        <v>1</v>
      </c>
      <c r="G129" s="92" t="n">
        <v>1</v>
      </c>
      <c r="H129" s="77">
        <f>F129/G129</f>
        <v/>
      </c>
    </row>
    <row r="130" ht="15.75" customHeight="1">
      <c r="B130" s="93" t="inlineStr">
        <is>
          <t>زیرسازی و صندوقچه سازی تجهیزات مکانیکال و الکتریکال</t>
        </is>
      </c>
      <c r="C130" s="90" t="inlineStr">
        <is>
          <t>کارهای فلزی سبک</t>
        </is>
      </c>
      <c r="D130" s="89" t="inlineStr">
        <is>
          <t>اکیپ بنایی 2 نفره</t>
        </is>
      </c>
      <c r="E130" s="89" t="inlineStr">
        <is>
          <t>متر مربع</t>
        </is>
      </c>
      <c r="F130" s="91" t="n">
        <v>1</v>
      </c>
      <c r="G130" s="92" t="n">
        <v>2</v>
      </c>
      <c r="H130" s="77">
        <f>F130/G130</f>
        <v/>
      </c>
    </row>
    <row r="131" ht="15.75" customHeight="1">
      <c r="B131" s="93" t="inlineStr">
        <is>
          <t>نصب مونوریل چاله آسانسور</t>
        </is>
      </c>
      <c r="C131" s="90" t="inlineStr">
        <is>
          <t>کارهای فلزی سبک</t>
        </is>
      </c>
      <c r="D131" s="89" t="inlineStr">
        <is>
          <t>اکیپ جوشکاری 2 نفره</t>
        </is>
      </c>
      <c r="E131" s="89" t="inlineStr">
        <is>
          <t>تعداد</t>
        </is>
      </c>
      <c r="F131" s="91" t="n">
        <v>1</v>
      </c>
      <c r="G131" s="92" t="n">
        <v>2</v>
      </c>
      <c r="H131" s="77">
        <f>F131/G131</f>
        <v/>
      </c>
    </row>
    <row r="132" ht="15.75" customHeight="1">
      <c r="B132" s="93" t="inlineStr">
        <is>
          <t>اجرای سازه فلزی پله نیم طبقه</t>
        </is>
      </c>
      <c r="C132" s="90" t="inlineStr">
        <is>
          <t>کارهای فلزی سبک</t>
        </is>
      </c>
      <c r="D132" s="89" t="inlineStr">
        <is>
          <t>اکیپ بنایی 2 نفره</t>
        </is>
      </c>
      <c r="E132" s="89" t="inlineStr">
        <is>
          <t>تعداد</t>
        </is>
      </c>
      <c r="F132" s="91" t="n">
        <v>1</v>
      </c>
      <c r="G132" s="92" t="n">
        <v>2</v>
      </c>
      <c r="H132" s="77" t="n">
        <v>1</v>
      </c>
    </row>
    <row r="133" ht="15.75" customHeight="1">
      <c r="B133" s="128" t="inlineStr">
        <is>
          <t>تجهیزات بهداشتی و شیرآلات</t>
        </is>
      </c>
      <c r="C133" s="126" t="n"/>
      <c r="D133" s="126" t="n"/>
      <c r="E133" s="126" t="n"/>
      <c r="F133" s="126" t="n"/>
      <c r="G133" s="126" t="n"/>
      <c r="H133" s="127" t="n"/>
    </row>
    <row r="134" ht="15.75" customHeight="1">
      <c r="B134" s="89" t="inlineStr">
        <is>
          <t>نصب کفشوی</t>
        </is>
      </c>
      <c r="C134" s="90" t="inlineStr">
        <is>
          <t>تجهیزات بهداشتی و شیرآلات</t>
        </is>
      </c>
      <c r="D134" s="89" t="inlineStr">
        <is>
          <t>اکیپ نصب تجهیزات بهداشتی 1 نفره</t>
        </is>
      </c>
      <c r="E134" s="89" t="inlineStr">
        <is>
          <t>تعداد</t>
        </is>
      </c>
      <c r="F134" s="91" t="n">
        <v>6</v>
      </c>
      <c r="G134" s="92" t="n">
        <v>1</v>
      </c>
      <c r="H134" s="77">
        <f>F134/G134</f>
        <v/>
      </c>
    </row>
    <row r="135" ht="15.75" customHeight="1">
      <c r="B135" s="89" t="inlineStr">
        <is>
          <t>نصب سرویس ایرانی</t>
        </is>
      </c>
      <c r="C135" s="90" t="inlineStr">
        <is>
          <t>تجهیزات بهداشتی و شیرآلات</t>
        </is>
      </c>
      <c r="D135" s="89" t="inlineStr">
        <is>
          <t>اکیپ نصب تجهیزات بهداشتی 1 نفره</t>
        </is>
      </c>
      <c r="E135" s="89" t="inlineStr">
        <is>
          <t>تعداد</t>
        </is>
      </c>
      <c r="F135" s="91" t="n">
        <v>4</v>
      </c>
      <c r="G135" s="92" t="n">
        <v>1</v>
      </c>
      <c r="H135" s="77">
        <f>F135/G135</f>
        <v/>
      </c>
    </row>
    <row r="136" ht="15.75" customHeight="1">
      <c r="B136" s="89" t="inlineStr">
        <is>
          <t>نصب تجهیزات بهداشتی</t>
        </is>
      </c>
      <c r="C136" s="90" t="inlineStr">
        <is>
          <t>تجهیزات بهداشتی و شیرآلات</t>
        </is>
      </c>
      <c r="D136" s="89" t="inlineStr">
        <is>
          <t>اکیپ نصب تجهیزات بهداشتی 1 نفره</t>
        </is>
      </c>
      <c r="E136" s="89" t="inlineStr">
        <is>
          <t>تعداد</t>
        </is>
      </c>
      <c r="F136" s="91" t="n">
        <v>4</v>
      </c>
      <c r="G136" s="92" t="n">
        <v>1</v>
      </c>
      <c r="H136" s="77">
        <f>F136/G136</f>
        <v/>
      </c>
    </row>
    <row r="137" ht="15.75" customHeight="1">
      <c r="B137" s="89" t="inlineStr">
        <is>
          <t>نصب شیرآلات</t>
        </is>
      </c>
      <c r="C137" s="90" t="inlineStr">
        <is>
          <t>تجهیزات بهداشتی و شیرآلات</t>
        </is>
      </c>
      <c r="D137" s="89" t="inlineStr">
        <is>
          <t>اکیپ نصب تجهیزات بهداشتی 1 نفره</t>
        </is>
      </c>
      <c r="E137" s="89" t="inlineStr">
        <is>
          <t>تعداد</t>
        </is>
      </c>
      <c r="F137" s="91" t="n">
        <v>10</v>
      </c>
      <c r="G137" s="92" t="n">
        <v>1</v>
      </c>
      <c r="H137" s="77">
        <f>F137/G137</f>
        <v/>
      </c>
    </row>
    <row r="138" ht="15.75" customHeight="1">
      <c r="B138" s="128" t="inlineStr">
        <is>
          <t>کابینت و تجهیزات آشپزخانه</t>
        </is>
      </c>
      <c r="C138" s="126" t="n"/>
      <c r="D138" s="126" t="n"/>
      <c r="E138" s="126" t="n"/>
      <c r="F138" s="126" t="n"/>
      <c r="G138" s="126" t="n"/>
      <c r="H138" s="127" t="n"/>
    </row>
    <row r="139" ht="15.75" customHeight="1">
      <c r="B139" s="89" t="inlineStr">
        <is>
          <t>نصب کابینت و تجهیزات آشپزخانه/ دیتیل ساده</t>
        </is>
      </c>
      <c r="C139" s="90" t="inlineStr">
        <is>
          <t>کابینت و تجهیزات آشپزخانه</t>
        </is>
      </c>
      <c r="D139" s="89" t="inlineStr">
        <is>
          <t>اکیپ نصب کابینت 2 نفره</t>
        </is>
      </c>
      <c r="E139" s="89" t="inlineStr">
        <is>
          <t>متر طول</t>
        </is>
      </c>
      <c r="F139" s="91" t="n">
        <v>4</v>
      </c>
      <c r="G139" s="92" t="n">
        <v>2</v>
      </c>
      <c r="H139" s="77">
        <f>F139/G139</f>
        <v/>
      </c>
    </row>
    <row r="140" ht="15.75" customHeight="1">
      <c r="B140" s="89" t="inlineStr">
        <is>
          <t>نصب کابینت و تجهیزات آشپزخانه/ دیتیل متوسط</t>
        </is>
      </c>
      <c r="C140" s="90" t="inlineStr">
        <is>
          <t>کابینت و تجهیزات آشپزخانه</t>
        </is>
      </c>
      <c r="D140" s="89" t="inlineStr">
        <is>
          <t>اکیپ نصب کابینت 2 نفره</t>
        </is>
      </c>
      <c r="E140" s="89" t="inlineStr">
        <is>
          <t>متر طول</t>
        </is>
      </c>
      <c r="F140" s="91" t="n">
        <v>2</v>
      </c>
      <c r="G140" s="92" t="n">
        <v>2</v>
      </c>
      <c r="H140" s="77">
        <f>F140/G140</f>
        <v/>
      </c>
    </row>
    <row r="141" ht="15.75" customHeight="1">
      <c r="B141" s="89" t="inlineStr">
        <is>
          <t>نصب کابینت و تجهیزات آشپزخانه/ دیتیل پیچیده</t>
        </is>
      </c>
      <c r="C141" s="90" t="inlineStr">
        <is>
          <t>کابینت و تجهیزات آشپزخانه</t>
        </is>
      </c>
      <c r="D141" s="89" t="inlineStr">
        <is>
          <t>اکیپ نصب کابینت 2 نفره</t>
        </is>
      </c>
      <c r="E141" s="89" t="inlineStr">
        <is>
          <t>متر طول</t>
        </is>
      </c>
      <c r="F141" s="91" t="n">
        <v>1</v>
      </c>
      <c r="G141" s="92" t="n">
        <v>2</v>
      </c>
      <c r="H141" s="77">
        <f>F141/G141</f>
        <v/>
      </c>
    </row>
    <row r="142" ht="20.1" customHeight="1">
      <c r="B142" s="125" t="inlineStr">
        <is>
          <t>تاسیسات مکانیکال</t>
        </is>
      </c>
      <c r="C142" s="126" t="n"/>
      <c r="D142" s="126" t="n"/>
      <c r="E142" s="126" t="n"/>
      <c r="F142" s="126" t="n"/>
      <c r="G142" s="126" t="n"/>
      <c r="H142" s="127" t="n"/>
    </row>
    <row r="143" ht="15.75" customHeight="1">
      <c r="B143" s="89" t="inlineStr">
        <is>
          <t>لوله کشی فاضلاب/ پوش فیت</t>
        </is>
      </c>
      <c r="C143" s="90" t="inlineStr">
        <is>
          <t>تاسیسات مکانیکال</t>
        </is>
      </c>
      <c r="D143" s="89" t="inlineStr">
        <is>
          <t>اکیپ پوش فیت کار 2 نفره</t>
        </is>
      </c>
      <c r="E143" s="89" t="inlineStr">
        <is>
          <t>تعداد انشعاب</t>
        </is>
      </c>
      <c r="F143" s="91" t="n">
        <v>3</v>
      </c>
      <c r="G143" s="92" t="n">
        <v>2</v>
      </c>
      <c r="H143" s="77">
        <f>F143/G143</f>
        <v/>
      </c>
    </row>
    <row r="144" ht="15.75" customHeight="1">
      <c r="B144" s="89" t="inlineStr">
        <is>
          <t>لوله کشی آب سرد و گرم/ پنج لایه</t>
        </is>
      </c>
      <c r="C144" s="90" t="inlineStr">
        <is>
          <t>تاسیسات مکانیکال</t>
        </is>
      </c>
      <c r="D144" s="89" t="inlineStr">
        <is>
          <t>اکیپ پنج لایه کار 2 نفره</t>
        </is>
      </c>
      <c r="E144" s="89" t="inlineStr">
        <is>
          <t>تعداد انشعاب</t>
        </is>
      </c>
      <c r="F144" s="91" t="n">
        <v>5</v>
      </c>
      <c r="G144" s="92" t="n">
        <v>2</v>
      </c>
      <c r="H144" s="77">
        <f>F144/G144</f>
        <v/>
      </c>
    </row>
    <row r="145" ht="15.75" customHeight="1">
      <c r="B145" s="89" t="inlineStr">
        <is>
          <t>لوله کشی آب سرد/ پنج لایه</t>
        </is>
      </c>
      <c r="C145" s="90" t="inlineStr">
        <is>
          <t>تاسیسات مکانیکال</t>
        </is>
      </c>
      <c r="D145" s="89" t="inlineStr">
        <is>
          <t>اکیپ پنج لایه کار 2 نفره</t>
        </is>
      </c>
      <c r="E145" s="89" t="inlineStr">
        <is>
          <t>تعداد انشعاب</t>
        </is>
      </c>
      <c r="F145" s="91" t="n">
        <v>7</v>
      </c>
      <c r="G145" s="92" t="n">
        <v>2</v>
      </c>
      <c r="H145" s="77">
        <f>F145/G145</f>
        <v/>
      </c>
    </row>
    <row r="146" ht="15.75" customHeight="1">
      <c r="B146" s="89" t="inlineStr">
        <is>
          <t>اجرای لوله اگزاست/ پلیکا</t>
        </is>
      </c>
      <c r="C146" s="90" t="inlineStr">
        <is>
          <t>تاسیسات مکانیکال</t>
        </is>
      </c>
      <c r="D146" s="89" t="inlineStr">
        <is>
          <t>اکیپ پلیکا کار 2 نفره</t>
        </is>
      </c>
      <c r="E146" s="89" t="inlineStr">
        <is>
          <t>تعداد انشعاب</t>
        </is>
      </c>
      <c r="F146" s="91" t="n">
        <v>2</v>
      </c>
      <c r="G146" s="92" t="n">
        <v>2</v>
      </c>
      <c r="H146" s="77">
        <f>F146/G146</f>
        <v/>
      </c>
    </row>
    <row r="147" ht="15.75" customHeight="1">
      <c r="B147" s="89" t="inlineStr">
        <is>
          <t>لوله کشی گاز/ گالوانیزه</t>
        </is>
      </c>
      <c r="C147" s="90" t="inlineStr">
        <is>
          <t>تاسیسات مکانیکال</t>
        </is>
      </c>
      <c r="D147" s="89" t="inlineStr">
        <is>
          <t>اکیپ گالونیزه کار 2 نفره</t>
        </is>
      </c>
      <c r="E147" s="89" t="inlineStr">
        <is>
          <t>تعداد انشعاب</t>
        </is>
      </c>
      <c r="F147" s="91" t="n">
        <v>1</v>
      </c>
      <c r="G147" s="92" t="n">
        <v>2</v>
      </c>
      <c r="H147" s="77">
        <f>F147/G147</f>
        <v/>
      </c>
    </row>
    <row r="148" ht="15.75" customHeight="1">
      <c r="B148" s="89" t="inlineStr">
        <is>
          <t>لوله کشی اطفا حریق/ مانیسمان</t>
        </is>
      </c>
      <c r="C148" s="90" t="inlineStr">
        <is>
          <t>تاسیسات مکانیکال</t>
        </is>
      </c>
      <c r="D148" s="89" t="inlineStr">
        <is>
          <t>اکیپ مانیسمان کار 2 نفره</t>
        </is>
      </c>
      <c r="E148" s="89" t="inlineStr">
        <is>
          <t>تعداد انشعاب</t>
        </is>
      </c>
      <c r="F148" s="91" t="n">
        <v>2</v>
      </c>
      <c r="G148" s="92" t="n">
        <v>2</v>
      </c>
      <c r="H148" s="77">
        <f>F148/G148</f>
        <v/>
      </c>
    </row>
    <row r="149" ht="15.75" customHeight="1">
      <c r="B149" s="89" t="inlineStr">
        <is>
          <t>نصب شاسی، ساپورت و لوله کشی فن کویل/ سقفی/ بغل زن</t>
        </is>
      </c>
      <c r="C149" s="90" t="inlineStr">
        <is>
          <t>تاسیسات مکانیکال</t>
        </is>
      </c>
      <c r="D149" s="89" t="inlineStr">
        <is>
          <t>اکیپ لوله کشی و نصب فن کویل 2 نفره</t>
        </is>
      </c>
      <c r="E149" s="89" t="inlineStr">
        <is>
          <t>تعداد انشعاب</t>
        </is>
      </c>
      <c r="F149" s="91" t="n">
        <v>1</v>
      </c>
      <c r="G149" s="92" t="n">
        <v>2</v>
      </c>
      <c r="H149" s="77">
        <f>F149/G149</f>
        <v/>
      </c>
    </row>
    <row r="150" ht="15.75" customHeight="1">
      <c r="B150" s="89" t="inlineStr">
        <is>
          <t>نصب فن کویل/ سقفی/ بغل زن</t>
        </is>
      </c>
      <c r="C150" s="90" t="inlineStr">
        <is>
          <t>تاسیسات مکانیکال</t>
        </is>
      </c>
      <c r="D150" s="89" t="inlineStr">
        <is>
          <t>اکیپ لوله کشی و نصب فن کویل 2 نفره</t>
        </is>
      </c>
      <c r="E150" s="89" t="inlineStr">
        <is>
          <t>تعداد فن کویل</t>
        </is>
      </c>
      <c r="F150" s="91" t="n">
        <v>2</v>
      </c>
      <c r="G150" s="92" t="n">
        <v>2</v>
      </c>
      <c r="H150" s="77">
        <f>F150/G150</f>
        <v/>
      </c>
    </row>
    <row r="151" ht="15.75" customHeight="1">
      <c r="B151" s="89" t="inlineStr">
        <is>
          <t>نصب داکت فن کویل</t>
        </is>
      </c>
      <c r="C151" s="90" t="inlineStr">
        <is>
          <t>تاسیسات مکانیکال</t>
        </is>
      </c>
      <c r="D151" s="89" t="inlineStr">
        <is>
          <t>اکیپ لوله کشی و نصب فن کویل 2 نفره</t>
        </is>
      </c>
      <c r="E151" s="89" t="inlineStr">
        <is>
          <t>تعداد داکت فن کویل</t>
        </is>
      </c>
      <c r="F151" s="91" t="n">
        <v>1</v>
      </c>
      <c r="G151" s="92" t="n">
        <v>2</v>
      </c>
      <c r="H151" s="77">
        <f>F151/G151</f>
        <v/>
      </c>
    </row>
    <row r="152" ht="15.75" customHeight="1">
      <c r="B152" s="89" t="inlineStr">
        <is>
          <t>نصب کانال اس فن کویل/ سقفی/ بغل زن</t>
        </is>
      </c>
      <c r="C152" s="90" t="inlineStr">
        <is>
          <t>تاسیسات مکانیکال</t>
        </is>
      </c>
      <c r="D152" s="89" t="inlineStr">
        <is>
          <t>اکیپ کانال ساز 2 نفره</t>
        </is>
      </c>
      <c r="E152" s="89" t="inlineStr">
        <is>
          <t>تعداد فن کویل</t>
        </is>
      </c>
      <c r="F152" s="91" t="n">
        <v>4</v>
      </c>
      <c r="G152" s="92" t="n">
        <v>2</v>
      </c>
      <c r="H152" s="77">
        <f>F152/G152</f>
        <v/>
      </c>
    </row>
    <row r="153" ht="15.75" customHeight="1">
      <c r="B153" s="89" t="inlineStr">
        <is>
          <t>اجرای کانال/ سایز متوسط</t>
        </is>
      </c>
      <c r="C153" s="90" t="inlineStr">
        <is>
          <t>تاسیسات مکانیکال</t>
        </is>
      </c>
      <c r="D153" s="89" t="inlineStr">
        <is>
          <t>اکیپ کانال ساز 2 نفره</t>
        </is>
      </c>
      <c r="E153" s="89" t="inlineStr">
        <is>
          <t>تعداد خروجی</t>
        </is>
      </c>
      <c r="F153" s="91" t="n">
        <v>1</v>
      </c>
      <c r="G153" s="92" t="n">
        <v>2</v>
      </c>
      <c r="H153" s="77">
        <f>F153/G153</f>
        <v/>
      </c>
    </row>
    <row r="154" ht="15.75" customHeight="1">
      <c r="B154" s="89" t="inlineStr">
        <is>
          <t>نصب باکس اطفا حریق</t>
        </is>
      </c>
      <c r="C154" s="90" t="inlineStr">
        <is>
          <t>تجهیزات اطفا حریق</t>
        </is>
      </c>
      <c r="D154" s="89" t="inlineStr">
        <is>
          <t>اکیپ نصب تجهیزات اطفا حریق 1 نفره</t>
        </is>
      </c>
      <c r="E154" s="89" t="inlineStr">
        <is>
          <t>تعداد</t>
        </is>
      </c>
      <c r="F154" s="91" t="n">
        <v>2</v>
      </c>
      <c r="G154" s="92" t="n">
        <v>1</v>
      </c>
      <c r="H154" s="77">
        <f>F154/G154</f>
        <v/>
      </c>
    </row>
    <row r="155" ht="15.75" customHeight="1">
      <c r="B155" s="90" t="inlineStr">
        <is>
          <t>نصب شیلنگ اطفا حریق</t>
        </is>
      </c>
      <c r="C155" s="90" t="inlineStr">
        <is>
          <t>تجهیزات اطفا حریق</t>
        </is>
      </c>
      <c r="D155" s="89" t="inlineStr">
        <is>
          <t>اکیپ نصب تجهیزات اطفا حریق 1 نفره</t>
        </is>
      </c>
      <c r="E155" s="90" t="inlineStr">
        <is>
          <t>تعداد</t>
        </is>
      </c>
      <c r="F155" s="94" t="n">
        <v>3</v>
      </c>
      <c r="G155" s="95" t="n">
        <v>1</v>
      </c>
      <c r="H155" s="73">
        <f>F155/G155</f>
        <v/>
      </c>
    </row>
    <row r="156" ht="15.75" customHeight="1">
      <c r="B156" s="89" t="inlineStr">
        <is>
          <t>نصب اسپرینکلر</t>
        </is>
      </c>
      <c r="C156" s="90" t="inlineStr">
        <is>
          <t>تجهیزات اطفا حریق</t>
        </is>
      </c>
      <c r="D156" s="89" t="inlineStr">
        <is>
          <t>اکیپ نصب تجهیزات اطفا حریق 1 نفره</t>
        </is>
      </c>
      <c r="E156" s="89" t="inlineStr">
        <is>
          <t>تعداد</t>
        </is>
      </c>
      <c r="F156" s="91" t="n">
        <v>8</v>
      </c>
      <c r="G156" s="92" t="n">
        <v>1</v>
      </c>
      <c r="H156" s="77">
        <f>F156/G156</f>
        <v/>
      </c>
    </row>
    <row r="157" ht="15.75" customHeight="1">
      <c r="B157" s="90" t="inlineStr">
        <is>
          <t>نصب دریچه دهش/ سایز متوسط</t>
        </is>
      </c>
      <c r="C157" s="90" t="inlineStr">
        <is>
          <t>دریچه</t>
        </is>
      </c>
      <c r="D157" s="90" t="inlineStr">
        <is>
          <t>اکیپ نصب دریچه 1 نفره</t>
        </is>
      </c>
      <c r="E157" s="90" t="inlineStr">
        <is>
          <t>تعداد</t>
        </is>
      </c>
      <c r="F157" s="94" t="n">
        <v>8</v>
      </c>
      <c r="G157" s="95" t="n">
        <v>1</v>
      </c>
      <c r="H157" s="73">
        <f>F157/G157</f>
        <v/>
      </c>
    </row>
    <row r="158" ht="15.75" customHeight="1">
      <c r="B158" s="90" t="inlineStr">
        <is>
          <t>نصب دریچه بازدید فن کویل</t>
        </is>
      </c>
      <c r="C158" s="90" t="inlineStr">
        <is>
          <t>دریچه</t>
        </is>
      </c>
      <c r="D158" s="90" t="inlineStr">
        <is>
          <t>اکیپ نصب دریچه 1 نفره</t>
        </is>
      </c>
      <c r="E158" s="90" t="inlineStr">
        <is>
          <t>تعداد</t>
        </is>
      </c>
      <c r="F158" s="94" t="n">
        <v>8</v>
      </c>
      <c r="G158" s="95" t="n">
        <v>1</v>
      </c>
      <c r="H158" s="73">
        <f>F158/G158</f>
        <v/>
      </c>
    </row>
    <row r="159" ht="15.75" customHeight="1">
      <c r="B159" s="89" t="inlineStr">
        <is>
          <t>نصب دریچه بازدید</t>
        </is>
      </c>
      <c r="C159" s="90" t="inlineStr">
        <is>
          <t>دریچه</t>
        </is>
      </c>
      <c r="D159" s="89" t="inlineStr">
        <is>
          <t>اکیپ نصب دریچه 1 نفره</t>
        </is>
      </c>
      <c r="E159" s="89" t="inlineStr">
        <is>
          <t>تعداد</t>
        </is>
      </c>
      <c r="F159" s="91" t="n">
        <v>6</v>
      </c>
      <c r="G159" s="92" t="n">
        <v>1</v>
      </c>
      <c r="H159" s="77">
        <f>F159/G159</f>
        <v/>
      </c>
    </row>
    <row r="160" ht="20.1" customHeight="1">
      <c r="B160" s="125" t="inlineStr">
        <is>
          <t>درب  و پنجره</t>
        </is>
      </c>
      <c r="C160" s="126" t="n"/>
      <c r="D160" s="126" t="n"/>
      <c r="E160" s="126" t="n"/>
      <c r="F160" s="126" t="n"/>
      <c r="G160" s="126" t="n"/>
      <c r="H160" s="127" t="n"/>
    </row>
    <row r="161" ht="15.75" customHeight="1">
      <c r="B161" s="89" t="inlineStr">
        <is>
          <t>نصب درب ضد حریق</t>
        </is>
      </c>
      <c r="C161" s="90" t="inlineStr">
        <is>
          <t>درب  و پنجره</t>
        </is>
      </c>
      <c r="D161" s="89" t="inlineStr">
        <is>
          <t>اکیپ نصب درب ضد حریق 2 نفره</t>
        </is>
      </c>
      <c r="E161" s="89" t="inlineStr">
        <is>
          <t>تعداد درب 1 متر یا معادل آن</t>
        </is>
      </c>
      <c r="F161" s="91" t="n">
        <v>2</v>
      </c>
      <c r="G161" s="92" t="n">
        <v>2</v>
      </c>
      <c r="H161" s="77">
        <f>F161/G161</f>
        <v/>
      </c>
    </row>
    <row r="162" ht="15.75" customHeight="1">
      <c r="B162" s="90" t="inlineStr">
        <is>
          <t>نصب درب اتوماتیک پارکینگ</t>
        </is>
      </c>
      <c r="C162" s="90" t="inlineStr">
        <is>
          <t>درب  و پنجره</t>
        </is>
      </c>
      <c r="D162" s="90" t="inlineStr">
        <is>
          <t>اکیپ نصب درب اتوماتیک پارکینگ 2 نفره</t>
        </is>
      </c>
      <c r="E162" s="90" t="inlineStr">
        <is>
          <t>تعداد درب 3 متر یا معادل آن</t>
        </is>
      </c>
      <c r="F162" s="94" t="n">
        <v>1</v>
      </c>
      <c r="G162" s="95" t="n">
        <v>2</v>
      </c>
      <c r="H162" s="73" t="n">
        <v>1</v>
      </c>
    </row>
    <row r="163" ht="15.75" customHeight="1">
      <c r="B163" s="89" t="inlineStr">
        <is>
          <t>نصب درب اتوماتیک شیشه ای</t>
        </is>
      </c>
      <c r="C163" s="90" t="inlineStr">
        <is>
          <t>درب  و پنجره</t>
        </is>
      </c>
      <c r="D163" s="89" t="inlineStr">
        <is>
          <t>اکیپ نصب درب اتوماتیک شیشه ای 2 نفره</t>
        </is>
      </c>
      <c r="E163" s="89" t="inlineStr">
        <is>
          <t>تعداد درب 1 متری یا معادل آن</t>
        </is>
      </c>
      <c r="F163" s="91" t="n">
        <v>1</v>
      </c>
      <c r="G163" s="92" t="n">
        <v>2</v>
      </c>
      <c r="H163" s="77">
        <f>F163/G163</f>
        <v/>
      </c>
    </row>
    <row r="164" ht="15.75" customHeight="1">
      <c r="B164" s="90" t="inlineStr">
        <is>
          <t>نصب چهارچوب و فیت کردن درب/ چهارچوب چوبی</t>
        </is>
      </c>
      <c r="C164" s="90" t="inlineStr">
        <is>
          <t>درب  و پنجره</t>
        </is>
      </c>
      <c r="D164" s="90" t="inlineStr">
        <is>
          <t>اکیپ نصب درب چوبی 2 نفره</t>
        </is>
      </c>
      <c r="E164" s="90" t="inlineStr">
        <is>
          <t>تعداد درب 1 متری یا معادل آن</t>
        </is>
      </c>
      <c r="F164" s="94" t="n">
        <v>2</v>
      </c>
      <c r="G164" s="95" t="n">
        <v>2</v>
      </c>
      <c r="H164" s="73">
        <f>F164/G164</f>
        <v/>
      </c>
    </row>
    <row r="165" ht="15.75" customHeight="1">
      <c r="B165" s="89" t="inlineStr">
        <is>
          <t>نقاشی و نصب درب و یراق آلات/ چهارچوب چوبی/ دیتیل متوسط</t>
        </is>
      </c>
      <c r="C165" s="90" t="inlineStr">
        <is>
          <t>درب  و پنجره</t>
        </is>
      </c>
      <c r="D165" s="89" t="inlineStr">
        <is>
          <t>اکیپ نقاشی و نصب یراق آلات 2 نفره</t>
        </is>
      </c>
      <c r="E165" s="89" t="inlineStr">
        <is>
          <t>تعداد درب 1 متری یا معادل آن</t>
        </is>
      </c>
      <c r="F165" s="91" t="n">
        <v>1</v>
      </c>
      <c r="G165" s="92" t="n">
        <v>2</v>
      </c>
      <c r="H165" s="77">
        <f>F165/G165</f>
        <v/>
      </c>
    </row>
    <row r="166" ht="15.75" customHeight="1">
      <c r="B166" s="90" t="inlineStr">
        <is>
          <t>نصب درب یو پی وی سی</t>
        </is>
      </c>
      <c r="C166" s="90" t="inlineStr">
        <is>
          <t>درب  و پنجره</t>
        </is>
      </c>
      <c r="D166" s="90" t="inlineStr">
        <is>
          <t>اکیپ نصب درب یو پی وی سی 2 نفره</t>
        </is>
      </c>
      <c r="E166" s="90" t="inlineStr">
        <is>
          <t>تعداد درب 1 متری یا معادل آن</t>
        </is>
      </c>
      <c r="F166" s="94" t="n">
        <v>3</v>
      </c>
      <c r="G166" s="95" t="n">
        <v>2</v>
      </c>
      <c r="H166" s="73">
        <f>F166/G166</f>
        <v/>
      </c>
    </row>
    <row r="167" ht="15.75" customHeight="1">
      <c r="B167" s="89" t="inlineStr">
        <is>
          <t>نصب پنجره یو پی وی سی</t>
        </is>
      </c>
      <c r="C167" s="90" t="inlineStr">
        <is>
          <t>درب  و پنجره</t>
        </is>
      </c>
      <c r="D167" s="89" t="inlineStr">
        <is>
          <t>اکیپ نصب پنجره یو پی وی سی 2 نفره</t>
        </is>
      </c>
      <c r="E167" s="89" t="inlineStr">
        <is>
          <t>تعداد</t>
        </is>
      </c>
      <c r="F167" s="91" t="n">
        <v>3</v>
      </c>
      <c r="G167" s="92" t="n">
        <v>2</v>
      </c>
      <c r="H167" s="77">
        <f>F167/G167</f>
        <v/>
      </c>
    </row>
    <row r="168" ht="20.1" customHeight="1">
      <c r="B168" s="125" t="inlineStr">
        <is>
          <t>نازک کاری</t>
        </is>
      </c>
      <c r="C168" s="126" t="n"/>
      <c r="D168" s="126" t="n"/>
      <c r="E168" s="126" t="n"/>
      <c r="F168" s="126" t="n"/>
      <c r="G168" s="126" t="n"/>
      <c r="H168" s="127" t="n"/>
    </row>
    <row r="169" ht="15.75" customHeight="1">
      <c r="B169" s="128" t="inlineStr">
        <is>
          <t>سنگ، موزائیک، کاشی و سرامیک</t>
        </is>
      </c>
      <c r="C169" s="126" t="n"/>
      <c r="D169" s="126" t="n"/>
      <c r="E169" s="126" t="n"/>
      <c r="F169" s="126" t="n"/>
      <c r="G169" s="126" t="n"/>
      <c r="H169" s="127" t="n"/>
    </row>
    <row r="170" ht="15.75" customHeight="1">
      <c r="B170" s="96" t="inlineStr">
        <is>
          <t>اجرای سنگ، سرامیک و موزائیک کف/ دیتیل ساده</t>
        </is>
      </c>
      <c r="C170" s="90" t="inlineStr">
        <is>
          <t>سنگ، موزائیک، کاشی و سرامیک</t>
        </is>
      </c>
      <c r="D170" s="90" t="inlineStr">
        <is>
          <t>اکیپ سنگ کاری 2 نفره</t>
        </is>
      </c>
      <c r="E170" s="90" t="inlineStr">
        <is>
          <t>متر مربع</t>
        </is>
      </c>
      <c r="F170" s="94" t="n">
        <v>14</v>
      </c>
      <c r="G170" s="95" t="n">
        <v>2</v>
      </c>
      <c r="H170" s="73">
        <f>F170/G170</f>
        <v/>
      </c>
    </row>
    <row r="171" ht="15.75" customHeight="1">
      <c r="B171" s="93" t="inlineStr">
        <is>
          <t>اجرای سنگ، سرامیک و موزائیک کف/ دیتیل متوسط</t>
        </is>
      </c>
      <c r="C171" s="90" t="inlineStr">
        <is>
          <t>سنگ، موزائیک، کاشی و سرامیک</t>
        </is>
      </c>
      <c r="D171" s="89" t="inlineStr">
        <is>
          <t>اکیپ سنگ کاری 2 نفره</t>
        </is>
      </c>
      <c r="E171" s="89" t="inlineStr">
        <is>
          <t>متر مربع</t>
        </is>
      </c>
      <c r="F171" s="91" t="n">
        <v>12</v>
      </c>
      <c r="G171" s="92" t="n">
        <v>2</v>
      </c>
      <c r="H171" s="77">
        <f>F171/G171</f>
        <v/>
      </c>
    </row>
    <row r="172" ht="15.75" customHeight="1">
      <c r="B172" s="96" t="inlineStr">
        <is>
          <t>اجرای سنگ، سرامیک و موزائیک کف/ دیتیل پیچیده</t>
        </is>
      </c>
      <c r="C172" s="90" t="inlineStr">
        <is>
          <t>سنگ، موزائیک، کاشی و سرامیک</t>
        </is>
      </c>
      <c r="D172" s="90" t="inlineStr">
        <is>
          <t>اکیپ سنگ کاری 2 نفره</t>
        </is>
      </c>
      <c r="E172" s="90" t="inlineStr">
        <is>
          <t>متر مربع</t>
        </is>
      </c>
      <c r="F172" s="94" t="n">
        <v>10</v>
      </c>
      <c r="G172" s="95" t="n">
        <v>2</v>
      </c>
      <c r="H172" s="73">
        <f>F172/G172</f>
        <v/>
      </c>
    </row>
    <row r="173" ht="15.75" customHeight="1">
      <c r="B173" s="93" t="inlineStr">
        <is>
          <t>اجرای سنگ، سرامیک و کاشی دیوار/ دیتیل ساده</t>
        </is>
      </c>
      <c r="C173" s="90" t="inlineStr">
        <is>
          <t>سنگ، موزائیک، کاشی و سرامیک</t>
        </is>
      </c>
      <c r="D173" s="89" t="inlineStr">
        <is>
          <t>اکیپ سنگ کاری 2 نفره</t>
        </is>
      </c>
      <c r="E173" s="89" t="inlineStr">
        <is>
          <t>متر مربع</t>
        </is>
      </c>
      <c r="F173" s="91" t="n">
        <v>17</v>
      </c>
      <c r="G173" s="92" t="n">
        <v>2</v>
      </c>
      <c r="H173" s="77">
        <f>F173/G173</f>
        <v/>
      </c>
    </row>
    <row r="174" ht="15.75" customHeight="1">
      <c r="B174" s="96" t="inlineStr">
        <is>
          <t>اجرای سنگ، سرامیک و کاشی دیوار/ دیتیل متوسط</t>
        </is>
      </c>
      <c r="C174" s="90" t="inlineStr">
        <is>
          <t>سنگ، موزائیک، کاشی و سرامیک</t>
        </is>
      </c>
      <c r="D174" s="90" t="inlineStr">
        <is>
          <t>اکیپ سنگ کاری 2 نفره</t>
        </is>
      </c>
      <c r="E174" s="90" t="inlineStr">
        <is>
          <t>متر مربع</t>
        </is>
      </c>
      <c r="F174" s="94" t="n">
        <v>12</v>
      </c>
      <c r="G174" s="95" t="n">
        <v>2</v>
      </c>
      <c r="H174" s="73">
        <f>F174/G174</f>
        <v/>
      </c>
    </row>
    <row r="175" ht="15.75" customHeight="1">
      <c r="B175" s="93" t="inlineStr">
        <is>
          <t>اجرای سنگ، سرامیک و کاشی دیوار/ دیتیل پیچیده</t>
        </is>
      </c>
      <c r="C175" s="90" t="inlineStr">
        <is>
          <t>سنگ، موزائیک، کاشی و سرامیک</t>
        </is>
      </c>
      <c r="D175" s="89" t="inlineStr">
        <is>
          <t>اکیپ سنگ کاری 2 نفره</t>
        </is>
      </c>
      <c r="E175" s="89" t="inlineStr">
        <is>
          <t>متر مربع</t>
        </is>
      </c>
      <c r="F175" s="91" t="n">
        <v>10</v>
      </c>
      <c r="G175" s="92" t="n">
        <v>2</v>
      </c>
      <c r="H175" s="77">
        <f>F175/G175</f>
        <v/>
      </c>
    </row>
    <row r="176" ht="15.75" customHeight="1">
      <c r="B176" s="93" t="inlineStr">
        <is>
          <t>اجرای کاشی ورقه ای</t>
        </is>
      </c>
      <c r="C176" s="90" t="inlineStr">
        <is>
          <t>سنگ، موزائیک، کاشی و سرامیک</t>
        </is>
      </c>
      <c r="D176" s="89" t="inlineStr">
        <is>
          <t>اکیپ سنگ کاری 1 نفره</t>
        </is>
      </c>
      <c r="E176" s="89" t="inlineStr">
        <is>
          <t>متر مربع</t>
        </is>
      </c>
      <c r="F176" s="94" t="n">
        <v>45</v>
      </c>
      <c r="G176" s="92" t="n">
        <v>1</v>
      </c>
      <c r="H176" s="77">
        <f>F176/G176</f>
        <v/>
      </c>
    </row>
    <row r="177" ht="15.75" customHeight="1">
      <c r="B177" s="96" t="inlineStr">
        <is>
          <t>اجرای سنگ پله/ عرض متوسط</t>
        </is>
      </c>
      <c r="C177" s="90" t="inlineStr">
        <is>
          <t>سنگ، موزائیک، کاشی و سرامیک</t>
        </is>
      </c>
      <c r="D177" s="90" t="inlineStr">
        <is>
          <t>اکیپ سنگ کاری 2 نفره</t>
        </is>
      </c>
      <c r="E177" s="90" t="inlineStr">
        <is>
          <t>تعداد پله</t>
        </is>
      </c>
      <c r="F177" s="94" t="n">
        <v>10</v>
      </c>
      <c r="G177" s="95" t="n">
        <v>2</v>
      </c>
      <c r="H177" s="73">
        <f>F177/G177</f>
        <v/>
      </c>
    </row>
    <row r="178" ht="15.75" customHeight="1">
      <c r="B178" s="96" t="inlineStr">
        <is>
          <t>اجرای سنگ کتیبه دور درب آسانسور/ دیتیل ساده</t>
        </is>
      </c>
      <c r="C178" s="90" t="inlineStr">
        <is>
          <t>سنگ، موزائیک، کاشی و سرامیک</t>
        </is>
      </c>
      <c r="D178" s="90" t="inlineStr">
        <is>
          <t>اکیپ کارهای چوبی تزئینی 2 نفره</t>
        </is>
      </c>
      <c r="E178" s="90" t="inlineStr">
        <is>
          <t>متر طول</t>
        </is>
      </c>
      <c r="F178" s="94" t="n">
        <v>6</v>
      </c>
      <c r="G178" s="95" t="n">
        <v>2</v>
      </c>
      <c r="H178" s="73">
        <f>F178/G178</f>
        <v/>
      </c>
    </row>
    <row r="179" ht="15.75" customHeight="1">
      <c r="B179" s="93" t="inlineStr">
        <is>
          <t>اجرای سنگ کتیبه دور درب آسانسور/ دیتیل متوسط</t>
        </is>
      </c>
      <c r="C179" s="90" t="inlineStr">
        <is>
          <t>سنگ، موزائیک، کاشی و سرامیک</t>
        </is>
      </c>
      <c r="D179" s="89" t="inlineStr">
        <is>
          <t>اکیپ کارهای چوبی تزئینی 2 نفره</t>
        </is>
      </c>
      <c r="E179" s="89" t="inlineStr">
        <is>
          <t>متر طول</t>
        </is>
      </c>
      <c r="F179" s="91" t="n">
        <v>5</v>
      </c>
      <c r="G179" s="92" t="n">
        <v>2</v>
      </c>
      <c r="H179" s="77">
        <f>F179/G179</f>
        <v/>
      </c>
    </row>
    <row r="180" ht="15.75" customHeight="1">
      <c r="B180" s="96" t="inlineStr">
        <is>
          <t>اجرای سنگ کتیبه دور درب آسانسور/ دیتیل پیچیده</t>
        </is>
      </c>
      <c r="C180" s="90" t="inlineStr">
        <is>
          <t>سنگ، موزائیک، کاشی و سرامیک</t>
        </is>
      </c>
      <c r="D180" s="90" t="inlineStr">
        <is>
          <t>اکیپ کارهای چوبی تزئینی 2 نفره</t>
        </is>
      </c>
      <c r="E180" s="90" t="inlineStr">
        <is>
          <t>متر طول</t>
        </is>
      </c>
      <c r="F180" s="94" t="n">
        <v>4</v>
      </c>
      <c r="G180" s="95" t="n">
        <v>2</v>
      </c>
      <c r="H180" s="73">
        <f>F180/G180</f>
        <v/>
      </c>
    </row>
    <row r="181" ht="15.75" customHeight="1">
      <c r="B181" s="93" t="inlineStr">
        <is>
          <t>اجرای کتیبه سنگی ویترین/ دیتیل ساده</t>
        </is>
      </c>
      <c r="C181" s="90" t="inlineStr">
        <is>
          <t>سنگ، موزائیک، کاشی و سرامیک</t>
        </is>
      </c>
      <c r="D181" s="89" t="inlineStr">
        <is>
          <t>اکیپ سنگ کاری 2 نفره</t>
        </is>
      </c>
      <c r="E181" s="89" t="inlineStr">
        <is>
          <t>متر طول ویترین</t>
        </is>
      </c>
      <c r="F181" s="91" t="n">
        <v>3</v>
      </c>
      <c r="G181" s="92" t="n">
        <v>2</v>
      </c>
      <c r="H181" s="77">
        <f>F181/G181</f>
        <v/>
      </c>
    </row>
    <row r="182" ht="15.75" customHeight="1">
      <c r="B182" s="96" t="inlineStr">
        <is>
          <t>اجرای کتیبه سنگی ویترین/ دیتیل متوسط</t>
        </is>
      </c>
      <c r="C182" s="90" t="inlineStr">
        <is>
          <t>سنگ، موزائیک، کاشی و سرامیک</t>
        </is>
      </c>
      <c r="D182" s="90" t="inlineStr">
        <is>
          <t>اکیپ سنگ کاری 2 نفره</t>
        </is>
      </c>
      <c r="E182" s="90" t="inlineStr">
        <is>
          <t>متر طول ویترین</t>
        </is>
      </c>
      <c r="F182" s="94" t="n">
        <v>2</v>
      </c>
      <c r="G182" s="95" t="n">
        <v>2</v>
      </c>
      <c r="H182" s="73">
        <f>F182/G182</f>
        <v/>
      </c>
    </row>
    <row r="183" ht="15.75" customHeight="1">
      <c r="B183" s="93" t="inlineStr">
        <is>
          <t>اجرای کتیبه سنگی ویترین/ دیتیل پیچیده</t>
        </is>
      </c>
      <c r="C183" s="90" t="inlineStr">
        <is>
          <t>سنگ، موزائیک، کاشی و سرامیک</t>
        </is>
      </c>
      <c r="D183" s="89" t="inlineStr">
        <is>
          <t>اکیپ سنگ کاری 2 نفره</t>
        </is>
      </c>
      <c r="E183" s="89" t="inlineStr">
        <is>
          <t>متر طول ویترین</t>
        </is>
      </c>
      <c r="F183" s="91" t="n">
        <v>1</v>
      </c>
      <c r="G183" s="92" t="n">
        <v>2</v>
      </c>
      <c r="H183" s="77">
        <f>F183/G183</f>
        <v/>
      </c>
    </row>
    <row r="184" ht="15.75" customHeight="1">
      <c r="B184" s="96" t="inlineStr">
        <is>
          <t>نصب صراحی و هندریل/ دیتیل پیچیده</t>
        </is>
      </c>
      <c r="C184" s="90" t="inlineStr">
        <is>
          <t>سنگ، موزائیک، کاشی و سرامیک</t>
        </is>
      </c>
      <c r="D184" s="90" t="inlineStr">
        <is>
          <t>اکیپ سنگ کاری 2 نفره</t>
        </is>
      </c>
      <c r="E184" s="90" t="inlineStr">
        <is>
          <t>متر طول</t>
        </is>
      </c>
      <c r="F184" s="94" t="n">
        <v>1.5</v>
      </c>
      <c r="G184" s="95" t="n">
        <v>2</v>
      </c>
      <c r="H184" s="73">
        <f>F184/G184</f>
        <v/>
      </c>
    </row>
    <row r="185" ht="15.75" customHeight="1">
      <c r="B185" s="93" t="inlineStr">
        <is>
          <t>اجرای باربکیو سنگی لوکس</t>
        </is>
      </c>
      <c r="C185" s="90" t="inlineStr">
        <is>
          <t>سنگ، موزائیک، کاشی و سرامیک</t>
        </is>
      </c>
      <c r="D185" s="89" t="inlineStr">
        <is>
          <t>اکیپ سنگ کاری 2 نفره</t>
        </is>
      </c>
      <c r="E185" s="89" t="inlineStr">
        <is>
          <t>تعداد</t>
        </is>
      </c>
      <c r="F185" s="91" t="n">
        <v>0.25</v>
      </c>
      <c r="G185" s="92" t="n">
        <v>2</v>
      </c>
      <c r="H185" s="77">
        <f>F185/G185</f>
        <v/>
      </c>
    </row>
    <row r="186" ht="15.75" customHeight="1">
      <c r="B186" s="96" t="inlineStr">
        <is>
          <t>اجرای شومینه سنگی لوکس</t>
        </is>
      </c>
      <c r="C186" s="90" t="inlineStr">
        <is>
          <t>سنگ، موزائیک، کاشی و سرامیک</t>
        </is>
      </c>
      <c r="D186" s="90" t="inlineStr">
        <is>
          <t>اکیپ سنگ کاری 2 نفره</t>
        </is>
      </c>
      <c r="E186" s="90" t="inlineStr">
        <is>
          <t>تعداد</t>
        </is>
      </c>
      <c r="F186" s="94" t="n">
        <v>1</v>
      </c>
      <c r="G186" s="95" t="n">
        <v>2</v>
      </c>
      <c r="H186" s="73" t="n">
        <v>1</v>
      </c>
    </row>
    <row r="187" ht="15.75" customHeight="1">
      <c r="B187" s="96" t="inlineStr">
        <is>
          <t>ساب سنگ کف</t>
        </is>
      </c>
      <c r="C187" s="90" t="inlineStr">
        <is>
          <t>سنگ، موزائیک، کاشی و سرامیک</t>
        </is>
      </c>
      <c r="D187" s="90" t="inlineStr">
        <is>
          <t>اکیپ ساب سنگ 1 نفره</t>
        </is>
      </c>
      <c r="E187" s="90" t="inlineStr">
        <is>
          <t>متر مربع</t>
        </is>
      </c>
      <c r="F187" s="94" t="n">
        <v>80</v>
      </c>
      <c r="G187" s="95" t="n">
        <v>1</v>
      </c>
      <c r="H187" s="73">
        <f>F187/G187</f>
        <v/>
      </c>
    </row>
    <row r="188" ht="15.75" customHeight="1">
      <c r="B188" s="96" t="inlineStr">
        <is>
          <t>نصب قرنیز سنگی/ دیتیل ساده</t>
        </is>
      </c>
      <c r="C188" s="90" t="inlineStr">
        <is>
          <t>سنگ، موزائیک، کاشی و سرامیک</t>
        </is>
      </c>
      <c r="D188" s="90" t="inlineStr">
        <is>
          <t>اکیپ سنگ کاری 2 نفره</t>
        </is>
      </c>
      <c r="E188" s="90" t="inlineStr">
        <is>
          <t>متر طول</t>
        </is>
      </c>
      <c r="F188" s="94" t="n">
        <v>55</v>
      </c>
      <c r="G188" s="95" t="n">
        <v>2</v>
      </c>
      <c r="H188" s="73">
        <f>F188/G188</f>
        <v/>
      </c>
    </row>
    <row r="189" ht="15.75" customHeight="1">
      <c r="B189" s="93" t="inlineStr">
        <is>
          <t>نصب قرنیز سنگی/ دیتیل متوسط</t>
        </is>
      </c>
      <c r="C189" s="90" t="inlineStr">
        <is>
          <t>سنگ، موزائیک، کاشی و سرامیک</t>
        </is>
      </c>
      <c r="D189" s="89" t="inlineStr">
        <is>
          <t>اکیپ سنگ کاری 2 نفره</t>
        </is>
      </c>
      <c r="E189" s="89" t="inlineStr">
        <is>
          <t>متر طول</t>
        </is>
      </c>
      <c r="F189" s="91" t="n">
        <v>40</v>
      </c>
      <c r="G189" s="92" t="n">
        <v>2</v>
      </c>
      <c r="H189" s="77">
        <f>F189/G189</f>
        <v/>
      </c>
    </row>
    <row r="190" ht="15.75" customHeight="1">
      <c r="B190" s="96" t="inlineStr">
        <is>
          <t>نصب قرنیز سنگی/ دیتیل پیچیده</t>
        </is>
      </c>
      <c r="C190" s="90" t="inlineStr">
        <is>
          <t>سنگ، موزائیک، کاشی و سرامیک</t>
        </is>
      </c>
      <c r="D190" s="90" t="inlineStr">
        <is>
          <t>اکیپ سنگ کاری 2 نفره</t>
        </is>
      </c>
      <c r="E190" s="90" t="inlineStr">
        <is>
          <t>متر طول</t>
        </is>
      </c>
      <c r="F190" s="94" t="n">
        <v>25</v>
      </c>
      <c r="G190" s="95" t="n">
        <v>2</v>
      </c>
      <c r="H190" s="73">
        <f>F190/G190</f>
        <v/>
      </c>
    </row>
    <row r="191" ht="15.75" customHeight="1">
      <c r="B191" s="128" t="inlineStr">
        <is>
          <t>فینیشینگ</t>
        </is>
      </c>
      <c r="C191" s="126" t="n"/>
      <c r="D191" s="126" t="n"/>
      <c r="E191" s="126" t="n"/>
      <c r="F191" s="126" t="n"/>
      <c r="G191" s="126" t="n"/>
      <c r="H191" s="127" t="n"/>
    </row>
    <row r="192" ht="15.75" customHeight="1">
      <c r="B192" s="90" t="inlineStr">
        <is>
          <t>نصب درب، شیشه و یراق آلات ویترین/ فریم لس</t>
        </is>
      </c>
      <c r="C192" s="90" t="inlineStr">
        <is>
          <t>تزئینات</t>
        </is>
      </c>
      <c r="D192" s="90" t="inlineStr">
        <is>
          <t>اکیپ نصب شیشه و یراق آلات فریم لیس 2 نفره</t>
        </is>
      </c>
      <c r="E192" s="90" t="inlineStr">
        <is>
          <t>متر طول ویترین</t>
        </is>
      </c>
      <c r="F192" s="94" t="n">
        <v>3</v>
      </c>
      <c r="G192" s="95" t="n">
        <v>2</v>
      </c>
      <c r="H192" s="73">
        <f>F192/G192</f>
        <v/>
      </c>
    </row>
    <row r="193" ht="15.75" customHeight="1">
      <c r="B193" s="90" t="inlineStr">
        <is>
          <t>نصب قرنیز چوبی/ دیتیل ساده</t>
        </is>
      </c>
      <c r="C193" s="90" t="inlineStr">
        <is>
          <t>تزئینات</t>
        </is>
      </c>
      <c r="D193" s="90" t="inlineStr">
        <is>
          <t>اکیپ کارهای چوبی تزئینی 2 نفره</t>
        </is>
      </c>
      <c r="E193" s="90" t="inlineStr">
        <is>
          <t>متر طول</t>
        </is>
      </c>
      <c r="F193" s="94" t="n">
        <v>65</v>
      </c>
      <c r="G193" s="95" t="n">
        <v>2</v>
      </c>
      <c r="H193" s="73">
        <f>F193/G193</f>
        <v/>
      </c>
    </row>
    <row r="194" ht="15.75" customHeight="1">
      <c r="B194" s="89" t="inlineStr">
        <is>
          <t>نصب قرنیز چوبی/ دیتیل متوسط</t>
        </is>
      </c>
      <c r="C194" s="90" t="inlineStr">
        <is>
          <t>تزئینات</t>
        </is>
      </c>
      <c r="D194" s="89" t="inlineStr">
        <is>
          <t>اکیپ کارهای چوبی تزئینی 2 نفره</t>
        </is>
      </c>
      <c r="E194" s="89" t="inlineStr">
        <is>
          <t>متر طول</t>
        </is>
      </c>
      <c r="F194" s="91" t="n">
        <v>50</v>
      </c>
      <c r="G194" s="92" t="n">
        <v>2</v>
      </c>
      <c r="H194" s="77">
        <f>F194/G194</f>
        <v/>
      </c>
    </row>
    <row r="195" ht="15.75" customHeight="1">
      <c r="B195" s="90" t="inlineStr">
        <is>
          <t>نصب قرنیز چوبی/ دیتیل پیچیده</t>
        </is>
      </c>
      <c r="C195" s="90" t="inlineStr">
        <is>
          <t>تزئینات</t>
        </is>
      </c>
      <c r="D195" s="90" t="inlineStr">
        <is>
          <t>اکیپ کارهای چوبی تزئینی 2 نفره</t>
        </is>
      </c>
      <c r="E195" s="90" t="inlineStr">
        <is>
          <t>متر طول</t>
        </is>
      </c>
      <c r="F195" s="94" t="n">
        <v>30</v>
      </c>
      <c r="G195" s="95" t="n">
        <v>2</v>
      </c>
      <c r="H195" s="73">
        <f>F195/G195</f>
        <v/>
      </c>
    </row>
    <row r="196" ht="15.75" customHeight="1">
      <c r="B196" s="90" t="inlineStr">
        <is>
          <t>نصب نرده استیل</t>
        </is>
      </c>
      <c r="C196" s="90" t="inlineStr">
        <is>
          <t>تزئینات</t>
        </is>
      </c>
      <c r="D196" s="90" t="inlineStr">
        <is>
          <t>اکیپ نصب نرده استیل 2 نفره</t>
        </is>
      </c>
      <c r="E196" s="90" t="inlineStr">
        <is>
          <t>متر طول</t>
        </is>
      </c>
      <c r="F196" s="94" t="n">
        <v>12</v>
      </c>
      <c r="G196" s="95" t="n">
        <v>2</v>
      </c>
      <c r="H196" s="73">
        <f>F196/G196</f>
        <v/>
      </c>
    </row>
    <row r="197" ht="15.75" customHeight="1">
      <c r="B197" s="70" t="inlineStr">
        <is>
          <t xml:space="preserve">نصب کاغذ دیواری </t>
        </is>
      </c>
      <c r="C197" s="90" t="inlineStr">
        <is>
          <t>تزئینات</t>
        </is>
      </c>
      <c r="D197" s="99" t="inlineStr">
        <is>
          <t>اکیپ نصب کاغذ دیواری 2 نفره</t>
        </is>
      </c>
      <c r="E197" s="90" t="inlineStr">
        <is>
          <t>متر مربع</t>
        </is>
      </c>
      <c r="F197" s="94" t="n">
        <v>80</v>
      </c>
      <c r="G197" s="95" t="n">
        <v>2</v>
      </c>
      <c r="H197" s="73">
        <f>F197/G197</f>
        <v/>
      </c>
    </row>
    <row r="198" ht="15.75" customHeight="1">
      <c r="B198" s="74" t="inlineStr">
        <is>
          <t>پتینه کاری</t>
        </is>
      </c>
      <c r="C198" s="90" t="inlineStr">
        <is>
          <t>تزئینات</t>
        </is>
      </c>
      <c r="D198" s="100" t="inlineStr">
        <is>
          <t>اکیپ پتینه کاری 1 نفره</t>
        </is>
      </c>
      <c r="E198" s="89" t="inlineStr">
        <is>
          <t>مترمربع</t>
        </is>
      </c>
      <c r="F198" s="91" t="n">
        <v>25</v>
      </c>
      <c r="G198" s="92" t="n">
        <v>1</v>
      </c>
      <c r="H198" s="77">
        <f>F198/G198</f>
        <v/>
      </c>
    </row>
    <row r="199" ht="15.75" customHeight="1">
      <c r="B199" s="70" t="inlineStr">
        <is>
          <t>نصب لمینیت</t>
        </is>
      </c>
      <c r="C199" s="90" t="inlineStr">
        <is>
          <t>تزئینات</t>
        </is>
      </c>
      <c r="D199" s="99" t="inlineStr">
        <is>
          <t>اکیپ نصب پارکت و لیمنیت</t>
        </is>
      </c>
      <c r="E199" s="90" t="inlineStr">
        <is>
          <t>متر مربع</t>
        </is>
      </c>
      <c r="F199" s="94" t="n">
        <v>70</v>
      </c>
      <c r="G199" s="95" t="n">
        <v>1</v>
      </c>
      <c r="H199" s="73">
        <f>F199/G199</f>
        <v/>
      </c>
    </row>
    <row r="200" ht="15.75" customHeight="1">
      <c r="B200" s="74" t="inlineStr">
        <is>
          <t>نصب کمد دیواری چوبی</t>
        </is>
      </c>
      <c r="C200" s="90" t="inlineStr">
        <is>
          <t>تزئینات</t>
        </is>
      </c>
      <c r="D200" s="100" t="inlineStr">
        <is>
          <t>اکیپ کارهای چوبی 2 نفره</t>
        </is>
      </c>
      <c r="E200" s="89" t="inlineStr">
        <is>
          <t>متر طول</t>
        </is>
      </c>
      <c r="F200" s="91" t="n">
        <v>2</v>
      </c>
      <c r="G200" s="92" t="n">
        <v>2</v>
      </c>
      <c r="H200" s="77">
        <f>F200/G200</f>
        <v/>
      </c>
    </row>
    <row r="201" ht="15.75" customHeight="1">
      <c r="B201" s="70" t="inlineStr">
        <is>
          <t>نقاشی کمد دیواری چوبی و نصب یراق آلات</t>
        </is>
      </c>
      <c r="C201" s="90" t="inlineStr">
        <is>
          <t>تزئینات</t>
        </is>
      </c>
      <c r="D201" s="99" t="inlineStr">
        <is>
          <t>اکیپ نقاشی (سطوح چوبی) 1 نفره</t>
        </is>
      </c>
      <c r="E201" s="90" t="inlineStr">
        <is>
          <t>متر طول</t>
        </is>
      </c>
      <c r="F201" s="94" t="n">
        <v>2</v>
      </c>
      <c r="G201" s="95" t="n">
        <v>1</v>
      </c>
      <c r="H201" s="73">
        <f>F201/G201</f>
        <v/>
      </c>
    </row>
    <row r="202" ht="15.75" customHeight="1">
      <c r="B202" s="97" t="inlineStr">
        <is>
          <t>کارهای چوبی سونای خشک</t>
        </is>
      </c>
      <c r="C202" s="90" t="inlineStr">
        <is>
          <t>تزئینات</t>
        </is>
      </c>
      <c r="D202" s="100" t="inlineStr">
        <is>
          <t>اکیپ کارهای چوبی سونا 2 نفره</t>
        </is>
      </c>
      <c r="E202" s="89" t="inlineStr">
        <is>
          <t>تعداد</t>
        </is>
      </c>
      <c r="F202" s="91" t="n">
        <v>0.3</v>
      </c>
      <c r="G202" s="92" t="n">
        <v>2</v>
      </c>
      <c r="H202" s="77">
        <f>F202/G202</f>
        <v/>
      </c>
    </row>
    <row r="203" ht="15.75" customHeight="1">
      <c r="B203" s="98" t="inlineStr">
        <is>
          <t>نصب تجهیزات سونای خشک</t>
        </is>
      </c>
      <c r="C203" s="90" t="inlineStr">
        <is>
          <t>تزئینات</t>
        </is>
      </c>
      <c r="D203" s="99" t="inlineStr">
        <is>
          <t>اکیپ نصب تجهیزات سونا 1 نفره</t>
        </is>
      </c>
      <c r="E203" s="90" t="inlineStr">
        <is>
          <t>تعداد</t>
        </is>
      </c>
      <c r="F203" s="94" t="n">
        <v>1</v>
      </c>
      <c r="G203" s="95" t="n">
        <v>1</v>
      </c>
      <c r="H203" s="73">
        <f>F203/G203</f>
        <v/>
      </c>
    </row>
    <row r="204" ht="15.75" customHeight="1">
      <c r="B204" s="70" t="inlineStr">
        <is>
          <t>اجرای فلاورباکس چوبی</t>
        </is>
      </c>
      <c r="C204" s="90" t="inlineStr">
        <is>
          <t>تزئینات</t>
        </is>
      </c>
      <c r="D204" s="99" t="inlineStr">
        <is>
          <t>اکیپ کارهای چوبی 2 نفره</t>
        </is>
      </c>
      <c r="E204" s="90" t="inlineStr">
        <is>
          <t>تعداد</t>
        </is>
      </c>
      <c r="F204" s="94" t="n">
        <v>1</v>
      </c>
      <c r="G204" s="95" t="n">
        <v>2</v>
      </c>
      <c r="H204" s="73" t="n">
        <v>1</v>
      </c>
    </row>
    <row r="205" ht="20.1" customHeight="1">
      <c r="B205" s="125" t="inlineStr">
        <is>
          <t>تاسیسات الکتریکال</t>
        </is>
      </c>
      <c r="C205" s="126" t="n"/>
      <c r="D205" s="126" t="n"/>
      <c r="E205" s="126" t="n"/>
      <c r="F205" s="126" t="n"/>
      <c r="G205" s="126" t="n"/>
      <c r="H205" s="127" t="n"/>
    </row>
    <row r="206" ht="15.75" customHeight="1">
      <c r="B206" s="89" t="inlineStr">
        <is>
          <t>نصب ساپورت و سینی کابل</t>
        </is>
      </c>
      <c r="C206" s="90" t="inlineStr">
        <is>
          <t>تاسیسات الکتریکال</t>
        </is>
      </c>
      <c r="D206" s="89" t="inlineStr">
        <is>
          <t>اکیپ لوله گذاری الکتریکال 2 نفره</t>
        </is>
      </c>
      <c r="E206" s="89" t="inlineStr">
        <is>
          <t>متر مربع زیربنا</t>
        </is>
      </c>
      <c r="F206" s="91" t="n">
        <v>45</v>
      </c>
      <c r="G206" s="92" t="n">
        <v>2</v>
      </c>
      <c r="H206" s="77">
        <f>F206/G206</f>
        <v/>
      </c>
    </row>
    <row r="207" ht="15.75" customHeight="1">
      <c r="B207" s="90" t="inlineStr">
        <is>
          <t>نصب قوطی و لوله گذاری الکتریکال کف</t>
        </is>
      </c>
      <c r="C207" s="90" t="inlineStr">
        <is>
          <t>تاسیسات الکتریکال</t>
        </is>
      </c>
      <c r="D207" s="90" t="inlineStr">
        <is>
          <t>اکیپ لوله گذاری الکتریکال 2 نفره</t>
        </is>
      </c>
      <c r="E207" s="90" t="inlineStr">
        <is>
          <t>متر مربع زیربنا</t>
        </is>
      </c>
      <c r="F207" s="94" t="n">
        <v>110</v>
      </c>
      <c r="G207" s="95" t="n">
        <v>2</v>
      </c>
      <c r="H207" s="73">
        <f>F207/G207</f>
        <v/>
      </c>
    </row>
    <row r="208" ht="15.75" customHeight="1">
      <c r="B208" s="89" t="inlineStr">
        <is>
          <t>نصب قوطی و لوله گذاری الکتریکال دیوار</t>
        </is>
      </c>
      <c r="C208" s="90" t="inlineStr">
        <is>
          <t>تاسیسات الکتریکال</t>
        </is>
      </c>
      <c r="D208" s="89" t="inlineStr">
        <is>
          <t>اکیپ لوله گذاری الکتریکال 2 نفره</t>
        </is>
      </c>
      <c r="E208" s="89" t="inlineStr">
        <is>
          <t>متر مربع زیربنا</t>
        </is>
      </c>
      <c r="F208" s="91" t="n">
        <v>105</v>
      </c>
      <c r="G208" s="92" t="n">
        <v>2</v>
      </c>
      <c r="H208" s="77">
        <f>F208/G208</f>
        <v/>
      </c>
    </row>
    <row r="209" ht="15.75" customHeight="1">
      <c r="B209" s="90" t="inlineStr">
        <is>
          <t>نصب قوطی و لوله گذاری الکتریکال سقف</t>
        </is>
      </c>
      <c r="C209" s="90" t="inlineStr">
        <is>
          <t>تاسیسات الکتریکال</t>
        </is>
      </c>
      <c r="D209" s="90" t="inlineStr">
        <is>
          <t>اکیپ لوله گذاری الکتریکال 2 نفره</t>
        </is>
      </c>
      <c r="E209" s="90" t="inlineStr">
        <is>
          <t>متر مربع زیربنا</t>
        </is>
      </c>
      <c r="F209" s="94" t="n">
        <v>95</v>
      </c>
      <c r="G209" s="95" t="n">
        <v>2</v>
      </c>
      <c r="H209" s="73">
        <f>F209/G209</f>
        <v/>
      </c>
    </row>
    <row r="210" ht="15.75" customHeight="1">
      <c r="B210" s="89" t="inlineStr">
        <is>
          <t>نصب قوطی و لوله گذاری الکتریکال کف و دیوار</t>
        </is>
      </c>
      <c r="C210" s="90" t="inlineStr">
        <is>
          <t>تاسیسات الکتریکال</t>
        </is>
      </c>
      <c r="D210" s="89" t="inlineStr">
        <is>
          <t>اکیپ لوله گذاری الکتریکال 2 نفره</t>
        </is>
      </c>
      <c r="E210" s="89" t="inlineStr">
        <is>
          <t>متر مربع زیربنا</t>
        </is>
      </c>
      <c r="F210" s="91" t="n">
        <v>75</v>
      </c>
      <c r="G210" s="92" t="n">
        <v>2</v>
      </c>
      <c r="H210" s="77">
        <f>F210/G210</f>
        <v/>
      </c>
    </row>
    <row r="211" ht="15.75" customHeight="1">
      <c r="B211" s="90" t="inlineStr">
        <is>
          <t>نصب قوطی و لوله گذاری الکتریکال کف، دیوار و سقف</t>
        </is>
      </c>
      <c r="C211" s="90" t="inlineStr">
        <is>
          <t>تاسیسات الکتریکال</t>
        </is>
      </c>
      <c r="D211" s="90" t="inlineStr">
        <is>
          <t>اکیپ لوله گذاری الکتریکال 2 نفره</t>
        </is>
      </c>
      <c r="E211" s="90" t="inlineStr">
        <is>
          <t>متر مربع زیربنا</t>
        </is>
      </c>
      <c r="F211" s="94" t="n">
        <v>65</v>
      </c>
      <c r="G211" s="95" t="n">
        <v>2</v>
      </c>
      <c r="H211" s="73">
        <f>F211/G211</f>
        <v/>
      </c>
    </row>
    <row r="212" ht="15.75" customHeight="1">
      <c r="B212" s="90" t="inlineStr">
        <is>
          <t>سیم کشی</t>
        </is>
      </c>
      <c r="C212" s="90" t="inlineStr">
        <is>
          <t>تاسیسات الکتریکال</t>
        </is>
      </c>
      <c r="D212" s="90" t="inlineStr">
        <is>
          <t>اکیپ سیم کشی 1 نفره</t>
        </is>
      </c>
      <c r="E212" s="90" t="inlineStr">
        <is>
          <t>متر مربع زیربنا</t>
        </is>
      </c>
      <c r="F212" s="94" t="n">
        <v>70</v>
      </c>
      <c r="G212" s="95" t="n">
        <v>1</v>
      </c>
      <c r="H212" s="73">
        <f>F212/G212</f>
        <v/>
      </c>
    </row>
    <row r="213" ht="15.75" customHeight="1">
      <c r="B213" s="90" t="inlineStr">
        <is>
          <t>نصب تابلو برق</t>
        </is>
      </c>
      <c r="C213" s="90" t="inlineStr">
        <is>
          <t>تاسیسات الکتریکال</t>
        </is>
      </c>
      <c r="D213" s="90" t="inlineStr">
        <is>
          <t>اکیپ نصب تابلو برق 1 نفره</t>
        </is>
      </c>
      <c r="E213" s="90" t="inlineStr">
        <is>
          <t>تعداد</t>
        </is>
      </c>
      <c r="F213" s="94" t="n">
        <v>2</v>
      </c>
      <c r="G213" s="95" t="n">
        <v>1</v>
      </c>
      <c r="H213" s="73" t="n">
        <v>2</v>
      </c>
    </row>
    <row r="214" ht="15.75" customHeight="1">
      <c r="B214" s="89" t="inlineStr">
        <is>
          <t>نصب تجهیزات روشنایی</t>
        </is>
      </c>
      <c r="C214" s="90" t="inlineStr">
        <is>
          <t>تاسیسات الکتریکال</t>
        </is>
      </c>
      <c r="D214" s="89" t="inlineStr">
        <is>
          <t>اکیپ نصب تجهیزات الکتریکال 1 نفره</t>
        </is>
      </c>
      <c r="E214" s="89" t="inlineStr">
        <is>
          <t>متر مربع زیربنا</t>
        </is>
      </c>
      <c r="F214" s="91" t="n">
        <v>75</v>
      </c>
      <c r="G214" s="92" t="n">
        <v>1</v>
      </c>
      <c r="H214" s="77" t="n">
        <v>75</v>
      </c>
    </row>
    <row r="215" ht="15.75" customHeight="1">
      <c r="B215" s="90" t="inlineStr">
        <is>
          <t>نصب تجهیزات الکتریکی دیوار</t>
        </is>
      </c>
      <c r="C215" s="90" t="inlineStr">
        <is>
          <t>تاسیسات الکتریکال</t>
        </is>
      </c>
      <c r="D215" s="90" t="inlineStr">
        <is>
          <t>اکیپ نصب تجهیزات الکتریکال 1 نفره</t>
        </is>
      </c>
      <c r="E215" s="90" t="inlineStr">
        <is>
          <t>متر مربع زیربنا</t>
        </is>
      </c>
      <c r="F215" s="94" t="n">
        <v>70</v>
      </c>
      <c r="G215" s="95" t="n">
        <v>1</v>
      </c>
      <c r="H215" s="73">
        <f>F215/G215</f>
        <v/>
      </c>
    </row>
    <row r="216" ht="15.75" customHeight="1">
      <c r="B216" s="89" t="inlineStr">
        <is>
          <t>نصب تجهیزات اعلام حریق</t>
        </is>
      </c>
      <c r="C216" s="90" t="inlineStr">
        <is>
          <t>تاسیسات الکتریکال</t>
        </is>
      </c>
      <c r="D216" s="89" t="inlineStr">
        <is>
          <t>اکیپ نصب تجهیزات الکتریکال 1 نفره</t>
        </is>
      </c>
      <c r="E216" s="89" t="inlineStr">
        <is>
          <t>متر مربع زیربنا</t>
        </is>
      </c>
      <c r="F216" s="91" t="n">
        <v>55</v>
      </c>
      <c r="G216" s="92" t="n">
        <v>1</v>
      </c>
      <c r="H216" s="77" t="n">
        <v>55</v>
      </c>
    </row>
    <row r="217" ht="15.75" customHeight="1">
      <c r="B217" s="89" t="inlineStr">
        <is>
          <t>نصب هواکش سقفی</t>
        </is>
      </c>
      <c r="C217" s="90" t="inlineStr">
        <is>
          <t>تاسیسات الکتریکال</t>
        </is>
      </c>
      <c r="D217" s="89" t="inlineStr">
        <is>
          <t>اکیپ نصب تجهیزات الکتریکال 1 نفره</t>
        </is>
      </c>
      <c r="E217" s="89" t="inlineStr">
        <is>
          <t>تعداد</t>
        </is>
      </c>
      <c r="F217" s="91" t="n">
        <v>7</v>
      </c>
      <c r="G217" s="92" t="n">
        <v>1</v>
      </c>
      <c r="H217" s="77">
        <f>F217/G217</f>
        <v/>
      </c>
    </row>
    <row r="218" ht="15.75" customHeight="1">
      <c r="B218" s="90" t="inlineStr">
        <is>
          <t>نصب دوربین مدار بسته</t>
        </is>
      </c>
      <c r="C218" s="90" t="inlineStr">
        <is>
          <t>تاسیسات الکتریکال</t>
        </is>
      </c>
      <c r="D218" s="90" t="inlineStr">
        <is>
          <t>اکیپ نصب دوربین مداربسته 1 نفره</t>
        </is>
      </c>
      <c r="E218" s="90" t="inlineStr">
        <is>
          <t>تعداد</t>
        </is>
      </c>
      <c r="F218" s="94" t="n">
        <v>4</v>
      </c>
      <c r="G218" s="95" t="n">
        <v>1</v>
      </c>
      <c r="H218" s="73">
        <f>F218/G218</f>
        <v/>
      </c>
    </row>
    <row r="219" ht="20.1" customHeight="1">
      <c r="B219" s="125" t="inlineStr">
        <is>
          <t>تجهیزات مرکزی مکانیکال و الکتریکال</t>
        </is>
      </c>
      <c r="C219" s="126" t="n"/>
      <c r="D219" s="126" t="n"/>
      <c r="E219" s="126" t="n"/>
      <c r="F219" s="126" t="n"/>
      <c r="G219" s="126" t="n"/>
      <c r="H219" s="127" t="n"/>
    </row>
    <row r="220" ht="15.75" customHeight="1">
      <c r="B220" s="96" t="inlineStr">
        <is>
          <t>نصب تجهیزات پمپ خانه</t>
        </is>
      </c>
      <c r="C220" s="90" t="inlineStr">
        <is>
          <t>تجهیزات مرکزی مکانیکال و الکتریکال</t>
        </is>
      </c>
      <c r="D220" s="90" t="inlineStr">
        <is>
          <t>اکیپ نصب تجهیزات پمپ خانه 4 نفره</t>
        </is>
      </c>
      <c r="E220" s="90" t="inlineStr">
        <is>
          <t>تعداد</t>
        </is>
      </c>
      <c r="F220" s="94" t="n">
        <v>0.04</v>
      </c>
      <c r="G220" s="95" t="n">
        <v>4</v>
      </c>
      <c r="H220" s="73">
        <f>F220/G220</f>
        <v/>
      </c>
    </row>
    <row r="221" ht="15.75" customHeight="1">
      <c r="B221" s="93" t="inlineStr">
        <is>
          <t>نصب تجهیزات موتورخانه (بویلر و متعلقات)</t>
        </is>
      </c>
      <c r="C221" s="90" t="inlineStr">
        <is>
          <t>تجهیزات مرکزی مکانیکال و الکتریکال</t>
        </is>
      </c>
      <c r="D221" s="89" t="inlineStr">
        <is>
          <t>اکیپ نصب تجهیزات موتورخانه 4 نفره</t>
        </is>
      </c>
      <c r="E221" s="89" t="inlineStr">
        <is>
          <t>تعداد</t>
        </is>
      </c>
      <c r="F221" s="91" t="n">
        <v>0.02222222222222222</v>
      </c>
      <c r="G221" s="92" t="n">
        <v>4</v>
      </c>
      <c r="H221" s="77">
        <f>F221/G221</f>
        <v/>
      </c>
      <c r="J221" s="4" t="n"/>
    </row>
    <row r="222" ht="15.75" customHeight="1">
      <c r="B222" s="96" t="inlineStr">
        <is>
          <t>نصب تجهیزات موتورخانه (چیلر و متعلقات)</t>
        </is>
      </c>
      <c r="C222" s="90" t="inlineStr">
        <is>
          <t>تجهیزات مرکزی مکانیکال و الکتریکال</t>
        </is>
      </c>
      <c r="D222" s="90" t="inlineStr">
        <is>
          <t>اکیپ نصب تجهیزات موتورخانه 4 نفره</t>
        </is>
      </c>
      <c r="E222" s="90" t="inlineStr">
        <is>
          <t>تعداد</t>
        </is>
      </c>
      <c r="F222" s="94" t="n">
        <v>0.01666666666666667</v>
      </c>
      <c r="G222" s="95" t="n">
        <v>4</v>
      </c>
      <c r="H222" s="73">
        <f>F222/G222</f>
        <v/>
      </c>
      <c r="J222" s="4" t="n"/>
    </row>
    <row r="223" ht="15.75" customHeight="1">
      <c r="B223" s="93" t="inlineStr">
        <is>
          <t>نصب تجهیزات موتورخانه (چیلر، بویلر و متعلقات)</t>
        </is>
      </c>
      <c r="C223" s="90" t="inlineStr">
        <is>
          <t>تجهیزات مرکزی مکانیکال و الکتریکال</t>
        </is>
      </c>
      <c r="D223" s="89" t="inlineStr">
        <is>
          <t>اکیپ نصب تجهیزات موتورخانه 4 نفره</t>
        </is>
      </c>
      <c r="E223" s="89" t="inlineStr">
        <is>
          <t>تعداد</t>
        </is>
      </c>
      <c r="F223" s="91" t="n">
        <v>0.01111111111111111</v>
      </c>
      <c r="G223" s="92" t="n">
        <v>4</v>
      </c>
      <c r="H223" s="77">
        <f>F223/G223</f>
        <v/>
      </c>
    </row>
    <row r="224" ht="15.75" customHeight="1">
      <c r="B224" s="96" t="inlineStr">
        <is>
          <t>نصب تجهیزات تصفیه خانه استخر</t>
        </is>
      </c>
      <c r="C224" s="90" t="inlineStr">
        <is>
          <t>تجهیزات مرکزی مکانیکال و الکتریکال</t>
        </is>
      </c>
      <c r="D224" s="90" t="inlineStr">
        <is>
          <t>اکیپ نصب تجهیزات استخر 2 نفره</t>
        </is>
      </c>
      <c r="E224" s="90" t="inlineStr">
        <is>
          <t>تعداد</t>
        </is>
      </c>
      <c r="F224" s="94" t="n">
        <v>0.022</v>
      </c>
      <c r="G224" s="95" t="n">
        <v>2</v>
      </c>
      <c r="H224" s="73">
        <f>F224/G224</f>
        <v/>
      </c>
    </row>
    <row r="225" ht="15.75" customHeight="1">
      <c r="B225" s="93" t="inlineStr">
        <is>
          <t>نصب اگزاست فن</t>
        </is>
      </c>
      <c r="C225" s="90" t="inlineStr">
        <is>
          <t>تجهیزات مرکزی مکانیکال و الکتریکال</t>
        </is>
      </c>
      <c r="D225" s="89" t="inlineStr">
        <is>
          <t>اکیپ نصب اگزاست فن 2 نفره</t>
        </is>
      </c>
      <c r="E225" s="89" t="inlineStr">
        <is>
          <t>تعداد</t>
        </is>
      </c>
      <c r="F225" s="91" t="n">
        <v>1</v>
      </c>
      <c r="G225" s="92" t="n">
        <v>2</v>
      </c>
      <c r="H225" s="77">
        <f>F225/G225</f>
        <v/>
      </c>
    </row>
    <row r="226" ht="15.75" customHeight="1">
      <c r="B226" s="96" t="inlineStr">
        <is>
          <t>نصب دیزل ژنراتور</t>
        </is>
      </c>
      <c r="C226" s="90" t="inlineStr">
        <is>
          <t>تجهیزات مرکزی مکانیکال و الکتریکال</t>
        </is>
      </c>
      <c r="D226" s="90" t="inlineStr">
        <is>
          <t>اکیپ نصب دیزل ژنراتور 2 نفره</t>
        </is>
      </c>
      <c r="E226" s="90" t="inlineStr">
        <is>
          <t>تعداد</t>
        </is>
      </c>
      <c r="F226" s="94" t="n">
        <v>0.2</v>
      </c>
      <c r="G226" s="95" t="n">
        <v>2</v>
      </c>
      <c r="H226" s="73">
        <f>F226/G226</f>
        <v/>
      </c>
    </row>
    <row r="227" ht="15.75" customHeight="1">
      <c r="B227" s="114" t="inlineStr">
        <is>
          <t>نصب برج خنک کننده</t>
        </is>
      </c>
      <c r="C227" s="90" t="inlineStr">
        <is>
          <t>تجهیزات مرکزی مکانیکال و الکتریکال</t>
        </is>
      </c>
      <c r="D227" s="97" t="inlineStr">
        <is>
          <t>اکیپ نصب برج خنک کننده 2 نفره</t>
        </is>
      </c>
      <c r="E227" s="89" t="inlineStr">
        <is>
          <t>تعداد</t>
        </is>
      </c>
      <c r="F227" s="91" t="n">
        <v>0.4</v>
      </c>
      <c r="G227" s="92" t="n">
        <v>2</v>
      </c>
      <c r="H227" s="77">
        <f>F227/G227</f>
        <v/>
      </c>
    </row>
    <row r="228" ht="15.75" customHeight="1">
      <c r="B228" s="115" t="inlineStr">
        <is>
          <t>نصب منبع انبساط</t>
        </is>
      </c>
      <c r="C228" s="90" t="inlineStr">
        <is>
          <t>تجهیزات مرکزی مکانیکال و الکتریکال</t>
        </is>
      </c>
      <c r="D228" s="98" t="inlineStr">
        <is>
          <t>اکیپ نصب منبع انبساط 2 نفره</t>
        </is>
      </c>
      <c r="E228" s="90" t="inlineStr">
        <is>
          <t>تعداد</t>
        </is>
      </c>
      <c r="F228" s="94" t="n">
        <v>0.3</v>
      </c>
      <c r="G228" s="95" t="n">
        <v>2</v>
      </c>
      <c r="H228" s="73">
        <f>F228/G228</f>
        <v/>
      </c>
    </row>
    <row r="229" ht="20.1" customHeight="1">
      <c r="B229" s="125" t="inlineStr">
        <is>
          <t>آسانسور</t>
        </is>
      </c>
      <c r="C229" s="126" t="n"/>
      <c r="D229" s="126" t="n"/>
      <c r="E229" s="126" t="n"/>
      <c r="F229" s="126" t="n"/>
      <c r="G229" s="126" t="n"/>
      <c r="H229" s="127" t="n"/>
    </row>
    <row r="230" ht="15.75" customHeight="1">
      <c r="B230" s="90" t="inlineStr">
        <is>
          <t>اجرای داربست چاله آسانسور</t>
        </is>
      </c>
      <c r="C230" s="90" t="inlineStr">
        <is>
          <t>داربست</t>
        </is>
      </c>
      <c r="D230" s="90" t="inlineStr">
        <is>
          <t>اکیپ داربست 2 نفره</t>
        </is>
      </c>
      <c r="E230" s="90" t="inlineStr">
        <is>
          <t>تعداد طبقه</t>
        </is>
      </c>
      <c r="F230" s="94" t="n">
        <v>2</v>
      </c>
      <c r="G230" s="95" t="n">
        <v>2</v>
      </c>
      <c r="H230" s="73">
        <f>F230/G230</f>
        <v/>
      </c>
    </row>
    <row r="231" ht="15.75" customHeight="1">
      <c r="B231" s="89" t="inlineStr">
        <is>
          <t>جمع کردن داربست چاله آسانسور</t>
        </is>
      </c>
      <c r="C231" s="90" t="inlineStr">
        <is>
          <t>داربست</t>
        </is>
      </c>
      <c r="D231" s="89" t="inlineStr">
        <is>
          <t>اکیپ داربست 2 نفره</t>
        </is>
      </c>
      <c r="E231" s="89" t="inlineStr">
        <is>
          <t>تعداد طبقه</t>
        </is>
      </c>
      <c r="F231" s="91" t="n">
        <v>5</v>
      </c>
      <c r="G231" s="92" t="n">
        <v>2</v>
      </c>
      <c r="H231" s="77">
        <f>F231/G231</f>
        <v/>
      </c>
    </row>
    <row r="232" ht="15.75" customHeight="1">
      <c r="B232" s="89" t="inlineStr">
        <is>
          <t>اجرای کلاف آسانسور</t>
        </is>
      </c>
      <c r="C232" s="90" t="inlineStr">
        <is>
          <t>آسانسور</t>
        </is>
      </c>
      <c r="D232" s="89" t="inlineStr">
        <is>
          <t>اکیپ جوشکاری 2 نفره</t>
        </is>
      </c>
      <c r="E232" s="89" t="inlineStr">
        <is>
          <t>تعداد طبقه</t>
        </is>
      </c>
      <c r="F232" s="91" t="n">
        <v>1</v>
      </c>
      <c r="G232" s="92" t="n">
        <v>2</v>
      </c>
      <c r="H232" s="77" t="n">
        <v>1</v>
      </c>
    </row>
    <row r="233" ht="15.75" customHeight="1">
      <c r="B233" s="90" t="inlineStr">
        <is>
          <t>ریل گذاری آسانسور</t>
        </is>
      </c>
      <c r="C233" s="90" t="inlineStr">
        <is>
          <t>آسانسور</t>
        </is>
      </c>
      <c r="D233" s="90" t="inlineStr">
        <is>
          <t>اکیپ نصب و راه اندازی آسانسور 3 نفره</t>
        </is>
      </c>
      <c r="E233" s="90" t="inlineStr">
        <is>
          <t>تعداد طبقه</t>
        </is>
      </c>
      <c r="F233" s="94" t="n">
        <v>1.8</v>
      </c>
      <c r="G233" s="95" t="n">
        <v>3</v>
      </c>
      <c r="H233" s="73">
        <f>F233/G233</f>
        <v/>
      </c>
    </row>
    <row r="234" ht="15.75" customHeight="1">
      <c r="B234" s="89" t="inlineStr">
        <is>
          <t>نصب فریم درب آسانسور</t>
        </is>
      </c>
      <c r="C234" s="90" t="inlineStr">
        <is>
          <t>آسانسور</t>
        </is>
      </c>
      <c r="D234" s="89" t="inlineStr">
        <is>
          <t>اکیپ نصب و راه اندازی آسانسور 3 نفره</t>
        </is>
      </c>
      <c r="E234" s="89" t="inlineStr">
        <is>
          <t>تعداد</t>
        </is>
      </c>
      <c r="F234" s="91" t="n">
        <v>3.5</v>
      </c>
      <c r="G234" s="92" t="n">
        <v>3</v>
      </c>
      <c r="H234" s="77">
        <f>F234/G234</f>
        <v/>
      </c>
    </row>
    <row r="235" ht="15.75" customHeight="1">
      <c r="B235" s="90" t="inlineStr">
        <is>
          <t>نصب تجهیزات الکترومکانیکال آسانسور</t>
        </is>
      </c>
      <c r="C235" s="90" t="inlineStr">
        <is>
          <t>آسانسور</t>
        </is>
      </c>
      <c r="D235" s="90" t="inlineStr">
        <is>
          <t>اکیپ نصب و راه اندازی آسانسور 3 نفره</t>
        </is>
      </c>
      <c r="E235" s="90" t="inlineStr">
        <is>
          <t>تعداد</t>
        </is>
      </c>
      <c r="F235" s="94" t="n">
        <v>1</v>
      </c>
      <c r="G235" s="95" t="n">
        <v>3</v>
      </c>
      <c r="H235" s="73" t="n">
        <v>0</v>
      </c>
    </row>
    <row r="236" ht="15.75" customHeight="1">
      <c r="B236" s="89" t="inlineStr">
        <is>
          <t>نصب کابین آسانسور</t>
        </is>
      </c>
      <c r="C236" s="90" t="inlineStr">
        <is>
          <t>آسانسور</t>
        </is>
      </c>
      <c r="D236" s="89" t="inlineStr">
        <is>
          <t>اکیپ نصب و راه اندازی آسانسور 3 نفره</t>
        </is>
      </c>
      <c r="E236" s="89" t="inlineStr">
        <is>
          <t>تعداد</t>
        </is>
      </c>
      <c r="F236" s="91" t="n">
        <v>1</v>
      </c>
      <c r="G236" s="92" t="n">
        <v>3</v>
      </c>
      <c r="H236" s="77" t="n">
        <v>0</v>
      </c>
    </row>
    <row r="237" ht="15.75" customHeight="1">
      <c r="B237" s="90" t="inlineStr">
        <is>
          <t>نصب درب آسانسور</t>
        </is>
      </c>
      <c r="C237" s="90" t="inlineStr">
        <is>
          <t>آسانسور</t>
        </is>
      </c>
      <c r="D237" s="90" t="inlineStr">
        <is>
          <t>اکیپ نصب و راه اندازی آسانسور 3 نفره</t>
        </is>
      </c>
      <c r="E237" s="90" t="inlineStr">
        <is>
          <t>تعداد</t>
        </is>
      </c>
      <c r="F237" s="94" t="n">
        <v>2</v>
      </c>
      <c r="G237" s="95" t="n">
        <v>3</v>
      </c>
      <c r="H237" s="73" t="n">
        <v>1</v>
      </c>
    </row>
    <row r="238" ht="15.75" customHeight="1">
      <c r="B238" s="89" t="inlineStr">
        <is>
          <t>راه اندازی آسانسور</t>
        </is>
      </c>
      <c r="C238" s="90" t="inlineStr">
        <is>
          <t>آسانسور</t>
        </is>
      </c>
      <c r="D238" s="89" t="inlineStr">
        <is>
          <t>اکیپ نصب و راه اندازی آسانسور 3 نفره</t>
        </is>
      </c>
      <c r="E238" s="89" t="inlineStr">
        <is>
          <t>تعداد</t>
        </is>
      </c>
      <c r="F238" s="91" t="n">
        <v>1</v>
      </c>
      <c r="G238" s="92" t="n">
        <v>3</v>
      </c>
      <c r="H238" s="77" t="n">
        <v>0</v>
      </c>
    </row>
    <row r="239" ht="15.75" customHeight="1">
      <c r="B239" s="90" t="inlineStr">
        <is>
          <t>اجرای شاسی فلزی آسانسور پانورما</t>
        </is>
      </c>
      <c r="C239" s="90" t="inlineStr">
        <is>
          <t>آسانسور</t>
        </is>
      </c>
      <c r="D239" s="90" t="inlineStr">
        <is>
          <t>اکیپ جوشکاری 2 نفره</t>
        </is>
      </c>
      <c r="E239" s="90" t="inlineStr">
        <is>
          <t>تعداد طبقه</t>
        </is>
      </c>
      <c r="F239" s="94" t="n">
        <v>0.3333333333333333</v>
      </c>
      <c r="G239" s="95" t="n">
        <v>2</v>
      </c>
      <c r="H239" s="73">
        <f>F239/G239</f>
        <v/>
      </c>
    </row>
    <row r="240" ht="15.75" customHeight="1">
      <c r="B240" s="89" t="inlineStr">
        <is>
          <t>ریل گذاری آسانسور آسانسور پانورما</t>
        </is>
      </c>
      <c r="C240" s="90" t="inlineStr">
        <is>
          <t>آسانسور</t>
        </is>
      </c>
      <c r="D240" s="89" t="inlineStr">
        <is>
          <t>اکیپ نصب و راه اندازی آسانسور 3 نفره</t>
        </is>
      </c>
      <c r="E240" s="89" t="inlineStr">
        <is>
          <t>تعداد طبقه</t>
        </is>
      </c>
      <c r="F240" s="91" t="n">
        <v>1</v>
      </c>
      <c r="G240" s="92" t="n">
        <v>3</v>
      </c>
      <c r="H240" s="77">
        <f>F240/G240</f>
        <v/>
      </c>
    </row>
    <row r="241" ht="15.75" customHeight="1">
      <c r="B241" s="90" t="inlineStr">
        <is>
          <t>نصب فریم درب آسانسور پانورما</t>
        </is>
      </c>
      <c r="C241" s="90" t="inlineStr">
        <is>
          <t>آسانسور</t>
        </is>
      </c>
      <c r="D241" s="90" t="inlineStr">
        <is>
          <t>اکیپ نصب و راه اندازی آسانسور 3 نفره</t>
        </is>
      </c>
      <c r="E241" s="90" t="inlineStr">
        <is>
          <t>تعداد</t>
        </is>
      </c>
      <c r="F241" s="94" t="n">
        <v>1.5</v>
      </c>
      <c r="G241" s="95" t="n">
        <v>3</v>
      </c>
      <c r="H241" s="73">
        <f>F241/G241</f>
        <v/>
      </c>
    </row>
    <row r="242" ht="15.75" customHeight="1">
      <c r="B242" s="89" t="inlineStr">
        <is>
          <t>نصب تجهیزات الکترومکانیکال آسانسور پانورما</t>
        </is>
      </c>
      <c r="C242" s="90" t="inlineStr">
        <is>
          <t>آسانسور</t>
        </is>
      </c>
      <c r="D242" s="89" t="inlineStr">
        <is>
          <t>اکیپ نصب و راه اندازی آسانسور 3 نفره</t>
        </is>
      </c>
      <c r="E242" s="89" t="inlineStr">
        <is>
          <t>تعداد</t>
        </is>
      </c>
      <c r="F242" s="91" t="n">
        <v>0.125</v>
      </c>
      <c r="G242" s="92" t="n">
        <v>3</v>
      </c>
      <c r="H242" s="77">
        <f>F242/G242</f>
        <v/>
      </c>
    </row>
    <row r="243" ht="15.75" customHeight="1">
      <c r="B243" s="90" t="inlineStr">
        <is>
          <t>نصب کابین آسانسور پانورما</t>
        </is>
      </c>
      <c r="C243" s="90" t="inlineStr">
        <is>
          <t>آسانسور</t>
        </is>
      </c>
      <c r="D243" s="90" t="inlineStr">
        <is>
          <t>اکیپ نصب و راه اندازی آسانسور 3 نفره</t>
        </is>
      </c>
      <c r="E243" s="90" t="inlineStr">
        <is>
          <t>تعداد</t>
        </is>
      </c>
      <c r="F243" s="94" t="n">
        <v>0.2</v>
      </c>
      <c r="G243" s="95" t="n">
        <v>3</v>
      </c>
      <c r="H243" s="73">
        <f>F243/G243</f>
        <v/>
      </c>
    </row>
    <row r="244" ht="15.75" customHeight="1">
      <c r="B244" s="89" t="inlineStr">
        <is>
          <t>نصب درب آسانسور پانورما</t>
        </is>
      </c>
      <c r="C244" s="90" t="inlineStr">
        <is>
          <t>آسانسور</t>
        </is>
      </c>
      <c r="D244" s="89" t="inlineStr">
        <is>
          <t>اکیپ نصب و راه اندازی آسانسور 3 نفره</t>
        </is>
      </c>
      <c r="E244" s="89" t="inlineStr">
        <is>
          <t>تعداد</t>
        </is>
      </c>
      <c r="F244" s="91" t="n">
        <v>1</v>
      </c>
      <c r="G244" s="92" t="n">
        <v>3</v>
      </c>
      <c r="H244" s="77">
        <f>F244/G244</f>
        <v/>
      </c>
    </row>
    <row r="245" ht="15.75" customHeight="1">
      <c r="B245" s="90" t="inlineStr">
        <is>
          <t>راه اندازی آسانسور پانورما</t>
        </is>
      </c>
      <c r="C245" s="90" t="inlineStr">
        <is>
          <t>آسانسور</t>
        </is>
      </c>
      <c r="D245" s="90" t="inlineStr">
        <is>
          <t>اکیپ نصب و راه اندازی آسانسور 3 نفره</t>
        </is>
      </c>
      <c r="E245" s="90" t="inlineStr">
        <is>
          <t>تعداد</t>
        </is>
      </c>
      <c r="F245" s="94" t="n">
        <v>3</v>
      </c>
      <c r="G245" s="95" t="n">
        <v>3</v>
      </c>
      <c r="H245" s="73">
        <f>F245/G245</f>
        <v/>
      </c>
    </row>
    <row r="246" ht="20.1" customHeight="1">
      <c r="B246" s="125" t="inlineStr">
        <is>
          <t>پله برقی</t>
        </is>
      </c>
      <c r="C246" s="126" t="n"/>
      <c r="D246" s="126" t="n"/>
      <c r="E246" s="126" t="n"/>
      <c r="F246" s="126" t="n"/>
      <c r="G246" s="126" t="n"/>
      <c r="H246" s="127" t="n"/>
    </row>
    <row r="247" ht="15.75" customHeight="1">
      <c r="B247" s="90" t="inlineStr">
        <is>
          <t>اجرای شاسی فلزی پله برقی</t>
        </is>
      </c>
      <c r="C247" s="90" t="inlineStr">
        <is>
          <t>پله برقی</t>
        </is>
      </c>
      <c r="D247" s="90" t="inlineStr">
        <is>
          <t>اکیپ جوشکاری 2 نفره</t>
        </is>
      </c>
      <c r="E247" s="90" t="inlineStr">
        <is>
          <t>تعداد</t>
        </is>
      </c>
      <c r="F247" s="94" t="n">
        <v>0.1</v>
      </c>
      <c r="G247" s="95" t="n">
        <v>2</v>
      </c>
      <c r="H247" s="73">
        <f>F247/G247</f>
        <v/>
      </c>
    </row>
    <row r="248" ht="15.75" customHeight="1">
      <c r="B248" s="89" t="inlineStr">
        <is>
          <t>نصب پله برقی</t>
        </is>
      </c>
      <c r="C248" s="90" t="inlineStr">
        <is>
          <t>پله برقی</t>
        </is>
      </c>
      <c r="D248" s="89" t="inlineStr">
        <is>
          <t>اکیپ نصب پله برقی 2 نفره</t>
        </is>
      </c>
      <c r="E248" s="89" t="inlineStr">
        <is>
          <t>تعداد</t>
        </is>
      </c>
      <c r="F248" s="91" t="n">
        <v>1</v>
      </c>
      <c r="G248" s="92" t="n">
        <v>2</v>
      </c>
      <c r="H248" s="77" t="n">
        <v>1</v>
      </c>
    </row>
    <row r="249" ht="15.75" customHeight="1">
      <c r="B249" s="90" t="inlineStr">
        <is>
          <t>نصب تجهیزات الکترومکانیکال پله برقی</t>
        </is>
      </c>
      <c r="C249" s="90" t="inlineStr">
        <is>
          <t>پله برقی</t>
        </is>
      </c>
      <c r="D249" s="90" t="inlineStr">
        <is>
          <t>اکیپ نصب پله برقی 2 نفره</t>
        </is>
      </c>
      <c r="E249" s="90" t="inlineStr">
        <is>
          <t>تعداد</t>
        </is>
      </c>
      <c r="F249" s="94" t="n">
        <v>1</v>
      </c>
      <c r="G249" s="95" t="n">
        <v>2</v>
      </c>
      <c r="H249" s="73" t="n">
        <v>1</v>
      </c>
    </row>
    <row r="250" ht="20.1" customHeight="1">
      <c r="B250" s="125" t="inlineStr">
        <is>
          <t>متفرقه</t>
        </is>
      </c>
      <c r="C250" s="126" t="n"/>
      <c r="D250" s="126" t="n"/>
      <c r="E250" s="126" t="n"/>
      <c r="F250" s="126" t="n"/>
      <c r="G250" s="126" t="n"/>
      <c r="H250" s="127" t="n"/>
    </row>
    <row r="251" ht="15.75" customHeight="1">
      <c r="B251" s="101" t="inlineStr">
        <is>
          <t>اجرای بتن کف (زیرسازی اپوکسی)</t>
        </is>
      </c>
      <c r="C251" s="90" t="inlineStr">
        <is>
          <t>متفرقه</t>
        </is>
      </c>
      <c r="D251" s="101" t="inlineStr">
        <is>
          <t>اکیپ اپوکسی کار 2نفره</t>
        </is>
      </c>
      <c r="E251" s="101" t="inlineStr">
        <is>
          <t>متر مربع</t>
        </is>
      </c>
      <c r="F251" s="91" t="n">
        <v>90</v>
      </c>
      <c r="G251" s="92" t="n">
        <v>2</v>
      </c>
      <c r="H251" s="102" t="n">
        <v>45</v>
      </c>
      <c r="I251" s="6" t="n"/>
    </row>
    <row r="252" ht="15.75" customHeight="1">
      <c r="B252" s="103" t="inlineStr">
        <is>
          <t>اجرای اپوکسی</t>
        </is>
      </c>
      <c r="C252" s="90" t="inlineStr">
        <is>
          <t>متفرقه</t>
        </is>
      </c>
      <c r="D252" s="103" t="inlineStr">
        <is>
          <t>اکیپ اپوکسی کار 2نفره</t>
        </is>
      </c>
      <c r="E252" s="103" t="inlineStr">
        <is>
          <t>متر مربع</t>
        </is>
      </c>
      <c r="F252" s="94" t="n">
        <v>270</v>
      </c>
      <c r="G252" s="95" t="n">
        <v>2</v>
      </c>
      <c r="H252" s="104" t="n">
        <v>135</v>
      </c>
      <c r="I252" s="6" t="n"/>
    </row>
    <row r="253" ht="15" customHeight="1">
      <c r="B253" s="89" t="inlineStr">
        <is>
          <t xml:space="preserve">نصب بورد مرکزی اعلام حریق </t>
        </is>
      </c>
      <c r="C253" s="90" t="inlineStr">
        <is>
          <t>متفرقه</t>
        </is>
      </c>
      <c r="D253" s="89" t="inlineStr">
        <is>
          <t>اکیپ نصب برد اعلام حریق 1 نفره</t>
        </is>
      </c>
      <c r="E253" s="89" t="inlineStr">
        <is>
          <t>تعداد</t>
        </is>
      </c>
      <c r="F253" s="91" t="n">
        <v>1</v>
      </c>
      <c r="G253" s="92" t="n">
        <v>1</v>
      </c>
      <c r="H253" s="105" t="n">
        <v>1</v>
      </c>
    </row>
    <row r="254" ht="15.75" customHeight="1">
      <c r="B254" s="90" t="inlineStr">
        <is>
          <t>نصب و عایق دودکش موتورخانه</t>
        </is>
      </c>
      <c r="C254" s="90" t="inlineStr">
        <is>
          <t>متفرقه</t>
        </is>
      </c>
      <c r="D254" s="90" t="inlineStr">
        <is>
          <t>اکیپ نصب و عایق دودکش 2 نفره</t>
        </is>
      </c>
      <c r="E254" s="90" t="inlineStr">
        <is>
          <t>تعداد</t>
        </is>
      </c>
      <c r="F254" s="94" t="n">
        <v>0.3</v>
      </c>
      <c r="G254" s="95" t="n">
        <v>2</v>
      </c>
      <c r="H254" s="106" t="n">
        <v>0.15</v>
      </c>
    </row>
    <row r="255" ht="15.75" customHeight="1">
      <c r="B255" s="89" t="inlineStr">
        <is>
          <t>نصب پست برق</t>
        </is>
      </c>
      <c r="C255" s="90" t="inlineStr">
        <is>
          <t>متفرقه</t>
        </is>
      </c>
      <c r="D255" s="89" t="inlineStr">
        <is>
          <t>اکیپ نصب تابلو برق 1 نفره</t>
        </is>
      </c>
      <c r="E255" s="89" t="inlineStr">
        <is>
          <t>تعداد</t>
        </is>
      </c>
      <c r="F255" s="91" t="n">
        <v>1</v>
      </c>
      <c r="G255" s="92" t="n">
        <v>1</v>
      </c>
      <c r="H255" s="105" t="n">
        <v>1</v>
      </c>
    </row>
    <row r="256" ht="15.75" customHeight="1">
      <c r="B256" s="115" t="inlineStr">
        <is>
          <t>اجرای میز بار استخر</t>
        </is>
      </c>
      <c r="C256" s="90" t="inlineStr">
        <is>
          <t>متفرقه</t>
        </is>
      </c>
      <c r="D256" s="90" t="inlineStr">
        <is>
          <t>اکیپ اجرای میز بار 2 نفره</t>
        </is>
      </c>
      <c r="E256" s="90" t="inlineStr">
        <is>
          <t>تعداد</t>
        </is>
      </c>
      <c r="F256" s="94" t="n">
        <v>0.2</v>
      </c>
      <c r="G256" s="95" t="n">
        <v>1</v>
      </c>
      <c r="H256" s="106" t="n">
        <v>0.2</v>
      </c>
    </row>
    <row r="257" ht="15.75" customHeight="1">
      <c r="B257" s="114" t="inlineStr">
        <is>
          <t>گریل گود نور فلزی</t>
        </is>
      </c>
      <c r="C257" s="90" t="inlineStr">
        <is>
          <t>متفرقه</t>
        </is>
      </c>
      <c r="D257" s="89" t="inlineStr">
        <is>
          <t>اکیپ جوشکاری 1 نفره</t>
        </is>
      </c>
      <c r="E257" s="89" t="inlineStr">
        <is>
          <t>تعداد</t>
        </is>
      </c>
      <c r="F257" s="91" t="n">
        <v>3</v>
      </c>
      <c r="G257" s="92" t="n">
        <v>1</v>
      </c>
      <c r="H257" s="105" t="n">
        <v>3</v>
      </c>
    </row>
    <row r="258" ht="15.75" customHeight="1">
      <c r="B258" s="98" t="inlineStr">
        <is>
          <t>نصب کارهای چوبی دیوار</t>
        </is>
      </c>
      <c r="C258" s="90" t="inlineStr">
        <is>
          <t>متفرقه</t>
        </is>
      </c>
      <c r="D258" s="90" t="inlineStr">
        <is>
          <t>اکیپ نصب کارهای چوبی دیوار 2نفره</t>
        </is>
      </c>
      <c r="E258" s="90" t="inlineStr">
        <is>
          <t>متر مربع</t>
        </is>
      </c>
      <c r="F258" s="94" t="n">
        <v>25</v>
      </c>
      <c r="G258" s="95" t="n">
        <v>2</v>
      </c>
      <c r="H258" s="106" t="n">
        <v>13</v>
      </c>
    </row>
    <row r="259" ht="15.75" customHeight="1">
      <c r="B259" s="97" t="inlineStr">
        <is>
          <t>نصب کنتورهای برق</t>
        </is>
      </c>
      <c r="C259" s="90" t="inlineStr">
        <is>
          <t>متفرقه</t>
        </is>
      </c>
      <c r="D259" s="89" t="inlineStr">
        <is>
          <t>اکیپ نصب کنتورهای برق 1 نفره</t>
        </is>
      </c>
      <c r="E259" s="89" t="inlineStr">
        <is>
          <t>تعداد</t>
        </is>
      </c>
      <c r="F259" s="75" t="n">
        <v>2</v>
      </c>
      <c r="G259" s="76" t="n">
        <v>1</v>
      </c>
      <c r="H259" s="105" t="n">
        <v>2</v>
      </c>
    </row>
    <row r="260" ht="15.75" customHeight="1">
      <c r="B260" s="115" t="inlineStr">
        <is>
          <t>نصب جت فن</t>
        </is>
      </c>
      <c r="C260" s="90" t="inlineStr">
        <is>
          <t>متفرقه</t>
        </is>
      </c>
      <c r="D260" s="90" t="inlineStr">
        <is>
          <t>اکیپ نصب جت فن 2 نفره</t>
        </is>
      </c>
      <c r="E260" s="90" t="inlineStr">
        <is>
          <t>تعداد</t>
        </is>
      </c>
      <c r="F260" s="71" t="n">
        <v>1</v>
      </c>
      <c r="G260" s="72" t="n">
        <v>2</v>
      </c>
      <c r="H260" s="106" t="n">
        <v>1</v>
      </c>
    </row>
    <row r="261" ht="15.75" customHeight="1">
      <c r="B261" s="114" t="inlineStr">
        <is>
          <t>نصب دریچه گاتر استخر</t>
        </is>
      </c>
      <c r="C261" s="90" t="inlineStr">
        <is>
          <t>متفرقه</t>
        </is>
      </c>
      <c r="D261" s="89" t="inlineStr">
        <is>
          <t>اکیپ نصب دریچه گاتر استخر</t>
        </is>
      </c>
      <c r="E261" s="89" t="inlineStr">
        <is>
          <t>متر طول</t>
        </is>
      </c>
      <c r="F261" s="75" t="n">
        <v>30</v>
      </c>
      <c r="G261" s="76" t="n">
        <v>1</v>
      </c>
      <c r="H261" s="105" t="n">
        <v>30</v>
      </c>
    </row>
    <row r="262" ht="15.75" customHeight="1">
      <c r="B262" s="116" t="inlineStr">
        <is>
          <t>زیرسازی ترموود</t>
        </is>
      </c>
      <c r="C262" s="90" t="inlineStr">
        <is>
          <t>متفرقه</t>
        </is>
      </c>
      <c r="D262" s="90" t="inlineStr">
        <is>
          <t>اکیپ اجرای ترمووود 2 نفره</t>
        </is>
      </c>
      <c r="E262" s="90" t="inlineStr">
        <is>
          <t>متر مربع</t>
        </is>
      </c>
      <c r="F262" s="71" t="n">
        <v>20</v>
      </c>
      <c r="G262" s="72" t="n">
        <v>2</v>
      </c>
      <c r="H262" s="106" t="n">
        <v>10</v>
      </c>
    </row>
    <row r="263" ht="15.75" customHeight="1">
      <c r="B263" s="117" t="inlineStr">
        <is>
          <t>اجرای ترمووود</t>
        </is>
      </c>
      <c r="C263" s="90" t="inlineStr">
        <is>
          <t>متفرقه</t>
        </is>
      </c>
      <c r="D263" s="89" t="inlineStr">
        <is>
          <t>اکیپ اجرای ترمووود 2 نفره</t>
        </is>
      </c>
      <c r="E263" s="89" t="inlineStr">
        <is>
          <t>متر مربع</t>
        </is>
      </c>
      <c r="F263" s="75" t="n">
        <v>35</v>
      </c>
      <c r="G263" s="76" t="n">
        <v>2</v>
      </c>
      <c r="H263" s="105" t="n">
        <v>18</v>
      </c>
    </row>
    <row r="264" ht="15.75" customHeight="1">
      <c r="B264" s="98" t="inlineStr">
        <is>
          <t>اجرای اتاق پست برق</t>
        </is>
      </c>
      <c r="C264" s="90" t="inlineStr">
        <is>
          <t>متفرقه</t>
        </is>
      </c>
      <c r="D264" s="90" t="inlineStr">
        <is>
          <t>اکیپ اجرای اتاق پست برق 2 نفره</t>
        </is>
      </c>
      <c r="E264" s="90" t="inlineStr">
        <is>
          <t>آیتم خاص</t>
        </is>
      </c>
      <c r="F264" s="94" t="n">
        <v>0.11</v>
      </c>
      <c r="G264" s="72" t="n">
        <v>2</v>
      </c>
      <c r="H264" s="106" t="n">
        <v>0.06</v>
      </c>
    </row>
    <row r="265" ht="15.75" customHeight="1">
      <c r="B265" s="97" t="inlineStr">
        <is>
          <t>اجرای فضای سبز</t>
        </is>
      </c>
      <c r="C265" s="90" t="inlineStr">
        <is>
          <t>متفرقه</t>
        </is>
      </c>
      <c r="D265" s="89" t="inlineStr">
        <is>
          <t>اکیپ اجرای فضای سبز 1 نفره</t>
        </is>
      </c>
      <c r="E265" s="89" t="inlineStr">
        <is>
          <t>آیتم خاص</t>
        </is>
      </c>
      <c r="F265" s="91" t="n">
        <v>1</v>
      </c>
      <c r="G265" s="76" t="n">
        <v>1</v>
      </c>
      <c r="H265" s="105" t="n">
        <v>1</v>
      </c>
    </row>
    <row r="266" ht="15.75" customHeight="1">
      <c r="B266" s="98" t="inlineStr">
        <is>
          <t>عملیات خاکی محوطه</t>
        </is>
      </c>
      <c r="C266" s="90" t="inlineStr">
        <is>
          <t>متفرقه</t>
        </is>
      </c>
      <c r="D266" s="90" t="inlineStr">
        <is>
          <t>اکیپ عملیات خاکی محوطه 2 نفره</t>
        </is>
      </c>
      <c r="E266" s="90" t="inlineStr">
        <is>
          <t>آیتم خاص</t>
        </is>
      </c>
      <c r="F266" s="94" t="n">
        <v>1</v>
      </c>
      <c r="G266" s="72" t="n">
        <v>2</v>
      </c>
      <c r="H266" s="106" t="n">
        <v>1</v>
      </c>
    </row>
    <row r="267" ht="15.75" customHeight="1">
      <c r="B267" s="117" t="inlineStr">
        <is>
          <t>گچ بری ستون ها</t>
        </is>
      </c>
      <c r="C267" s="90" t="inlineStr">
        <is>
          <t>متفرقه</t>
        </is>
      </c>
      <c r="D267" s="107" t="inlineStr">
        <is>
          <t>اکیپ گچ بری 2 نفره</t>
        </is>
      </c>
      <c r="E267" s="89" t="inlineStr">
        <is>
          <t>آیتم خاص</t>
        </is>
      </c>
      <c r="F267" s="91" t="n">
        <v>0.2</v>
      </c>
      <c r="G267" s="76" t="n">
        <v>2</v>
      </c>
      <c r="H267" s="102" t="n">
        <v>0.1</v>
      </c>
      <c r="I267" s="6" t="n"/>
    </row>
    <row r="268" ht="15.75" customHeight="1">
      <c r="B268" s="116" t="inlineStr">
        <is>
          <t>اجرای آبنما</t>
        </is>
      </c>
      <c r="C268" s="90" t="inlineStr">
        <is>
          <t>متفرقه</t>
        </is>
      </c>
      <c r="D268" s="108" t="inlineStr">
        <is>
          <t>اکیپ اجرای آبنما 3 نفره</t>
        </is>
      </c>
      <c r="E268" s="90" t="inlineStr">
        <is>
          <t>آیتم خاص</t>
        </is>
      </c>
      <c r="F268" s="94" t="n">
        <v>0.09</v>
      </c>
      <c r="G268" s="72" t="n">
        <v>3</v>
      </c>
      <c r="H268" s="104" t="n">
        <v>0.03</v>
      </c>
      <c r="I268" s="6" t="n"/>
    </row>
    <row r="269" ht="15.75" customHeight="1">
      <c r="B269" s="117" t="inlineStr">
        <is>
          <t>اجرای میز  پذیرش چوبی</t>
        </is>
      </c>
      <c r="C269" s="90" t="inlineStr">
        <is>
          <t>متفرقه</t>
        </is>
      </c>
      <c r="D269" s="107" t="inlineStr">
        <is>
          <t>اکیپ کارهای چوبی 2 نفره</t>
        </is>
      </c>
      <c r="E269" s="89" t="inlineStr">
        <is>
          <t>آیتم خاص</t>
        </is>
      </c>
      <c r="F269" s="91" t="n">
        <v>1</v>
      </c>
      <c r="G269" s="76" t="n">
        <v>2</v>
      </c>
      <c r="H269" s="102" t="n">
        <v>1</v>
      </c>
      <c r="I269" s="6" t="n"/>
    </row>
    <row r="270" ht="15.75" customHeight="1">
      <c r="B270" s="116" t="inlineStr">
        <is>
          <t>نصب جک معلول</t>
        </is>
      </c>
      <c r="C270" s="90" t="inlineStr">
        <is>
          <t>متفرقه</t>
        </is>
      </c>
      <c r="D270" s="108" t="inlineStr">
        <is>
          <t>اکیپ نصب جک معلول 2 نفره</t>
        </is>
      </c>
      <c r="E270" s="90" t="inlineStr">
        <is>
          <t>آیتم خاص</t>
        </is>
      </c>
      <c r="F270" s="94" t="n">
        <v>1</v>
      </c>
      <c r="G270" s="72" t="n">
        <v>2</v>
      </c>
      <c r="H270" s="104" t="n">
        <v>1</v>
      </c>
      <c r="I270" s="6" t="n"/>
    </row>
    <row r="271" ht="15.75" customHeight="1">
      <c r="B271" s="117" t="inlineStr">
        <is>
          <t>نصب شومینه</t>
        </is>
      </c>
      <c r="C271" s="90" t="inlineStr">
        <is>
          <t>متفرقه</t>
        </is>
      </c>
      <c r="D271" s="107" t="inlineStr">
        <is>
          <t>اکیپ نصب شومینه 1 نفره</t>
        </is>
      </c>
      <c r="E271" s="89" t="inlineStr">
        <is>
          <t>تعداد</t>
        </is>
      </c>
      <c r="F271" s="91" t="n">
        <v>3</v>
      </c>
      <c r="G271" s="76" t="n">
        <v>1</v>
      </c>
      <c r="H271" s="102" t="n">
        <v>3</v>
      </c>
      <c r="I271" s="6" t="n"/>
    </row>
    <row r="272" ht="15.75" customHeight="1">
      <c r="B272" s="70" t="inlineStr">
        <is>
          <t>نصب کابینت روشویی</t>
        </is>
      </c>
      <c r="C272" s="90" t="inlineStr">
        <is>
          <t>متفرقه</t>
        </is>
      </c>
      <c r="D272" s="108" t="inlineStr">
        <is>
          <t>اکیپ نصب کابینت روشویی 1 نفره</t>
        </is>
      </c>
      <c r="E272" s="90" t="inlineStr">
        <is>
          <t>تعداد</t>
        </is>
      </c>
      <c r="F272" s="94" t="n">
        <v>4</v>
      </c>
      <c r="G272" s="72" t="n">
        <v>1</v>
      </c>
      <c r="H272" s="104" t="n">
        <v>4</v>
      </c>
      <c r="I272" s="6" t="n"/>
    </row>
    <row r="273" ht="15.75" customHeight="1">
      <c r="B273" s="89" t="inlineStr">
        <is>
          <t xml:space="preserve"> اجرای فلاشینگ</t>
        </is>
      </c>
      <c r="C273" s="90" t="inlineStr">
        <is>
          <t>متفرقه</t>
        </is>
      </c>
      <c r="D273" s="107" t="inlineStr">
        <is>
          <t>اکیپ اجرای فلاشینگ 2 نفره</t>
        </is>
      </c>
      <c r="E273" s="89" t="inlineStr">
        <is>
          <t>آیتم خاص</t>
        </is>
      </c>
      <c r="F273" s="91" t="n">
        <v>1</v>
      </c>
      <c r="G273" s="76" t="n">
        <v>2</v>
      </c>
      <c r="H273" s="102" t="n">
        <v>1</v>
      </c>
      <c r="I273" s="6" t="n"/>
    </row>
    <row r="274" ht="15.75" customHeight="1">
      <c r="B274" s="98" t="inlineStr">
        <is>
          <t>نصب پله استخر</t>
        </is>
      </c>
      <c r="C274" s="90" t="inlineStr">
        <is>
          <t>متفرقه</t>
        </is>
      </c>
      <c r="D274" s="108" t="inlineStr">
        <is>
          <t>اکیپ نصب پله استخر 1 نفره</t>
        </is>
      </c>
      <c r="E274" s="90" t="inlineStr">
        <is>
          <t>آیتم خاص</t>
        </is>
      </c>
      <c r="F274" s="94" t="n">
        <v>1</v>
      </c>
      <c r="G274" s="72" t="n">
        <v>1</v>
      </c>
      <c r="H274" s="104" t="n">
        <v>1</v>
      </c>
      <c r="I274" s="6" t="n"/>
    </row>
    <row r="275" ht="15.75" customHeight="1">
      <c r="B275" s="118" t="inlineStr">
        <is>
          <t>نصب گریل بام</t>
        </is>
      </c>
      <c r="C275" s="109" t="inlineStr">
        <is>
          <t>متفرقه</t>
        </is>
      </c>
      <c r="D275" s="110" t="inlineStr">
        <is>
          <t>اکیپ جوشکاری 2 نفره</t>
        </is>
      </c>
      <c r="E275" s="110" t="inlineStr">
        <is>
          <t>آیتم خاص</t>
        </is>
      </c>
      <c r="F275" s="111" t="n">
        <v>1</v>
      </c>
      <c r="G275" s="112" t="n">
        <v>2</v>
      </c>
      <c r="H275" s="113" t="n">
        <v>1</v>
      </c>
    </row>
    <row r="276">
      <c r="G276" s="8" t="n"/>
      <c r="I276" s="5" t="n"/>
      <c r="J276" s="6" t="n"/>
    </row>
    <row r="277">
      <c r="G277" s="8" t="n"/>
      <c r="I277" s="5" t="n"/>
      <c r="J277" s="6" t="n"/>
    </row>
    <row r="278">
      <c r="G278" s="8" t="n"/>
      <c r="I278" s="5" t="n"/>
      <c r="J278" s="6" t="n"/>
    </row>
    <row r="279">
      <c r="G279" s="8" t="n"/>
      <c r="I279" s="5" t="n"/>
      <c r="J279" s="6" t="n"/>
    </row>
    <row r="280">
      <c r="G280" s="8" t="n"/>
      <c r="I280" s="5" t="n"/>
      <c r="J280" s="6" t="n"/>
    </row>
    <row r="281">
      <c r="G281" s="8" t="n"/>
      <c r="I281" s="5" t="n"/>
      <c r="J281" s="6" t="n"/>
    </row>
    <row r="282">
      <c r="G282" s="8" t="n"/>
      <c r="I282" s="5" t="n"/>
      <c r="J282" s="6" t="n"/>
    </row>
    <row r="283">
      <c r="G283" s="8" t="n"/>
      <c r="I283" s="5" t="n"/>
      <c r="J283" s="6" t="n"/>
    </row>
    <row r="284">
      <c r="G284" s="8" t="n"/>
      <c r="I284" s="5" t="n"/>
      <c r="J284" s="6" t="n"/>
    </row>
    <row r="285">
      <c r="G285" s="8" t="n"/>
      <c r="I285" s="5" t="n"/>
      <c r="J285" s="6" t="n"/>
    </row>
    <row r="286">
      <c r="G286" s="8" t="n"/>
      <c r="I286" s="5" t="n"/>
      <c r="J286" s="6" t="n"/>
    </row>
    <row r="287">
      <c r="G287" s="8" t="n"/>
      <c r="I287" s="5" t="n"/>
      <c r="J287" s="6" t="n"/>
    </row>
    <row r="288">
      <c r="G288" s="8" t="n"/>
      <c r="I288" s="5" t="n"/>
      <c r="J288" s="6" t="n"/>
    </row>
    <row r="289">
      <c r="G289" s="8" t="n"/>
      <c r="I289" s="5" t="n"/>
      <c r="J289" s="6" t="n"/>
    </row>
    <row r="290">
      <c r="G290" s="8" t="n"/>
      <c r="I290" s="5" t="n"/>
      <c r="J290" s="6" t="n"/>
    </row>
    <row r="291">
      <c r="G291" s="8" t="n"/>
      <c r="I291" s="5" t="n"/>
      <c r="J291" s="6" t="n"/>
    </row>
    <row r="292">
      <c r="G292" s="8" t="n"/>
      <c r="I292" s="5" t="n"/>
      <c r="J292" s="6" t="n"/>
    </row>
    <row r="293">
      <c r="G293" s="8" t="n"/>
      <c r="I293" s="5" t="n"/>
      <c r="J293" s="6" t="n"/>
    </row>
    <row r="294">
      <c r="G294" s="8" t="n"/>
      <c r="I294" s="5" t="n"/>
      <c r="J294" s="6" t="n"/>
    </row>
    <row r="295">
      <c r="G295" s="8" t="n"/>
      <c r="I295" s="5" t="n"/>
      <c r="J295" s="6" t="n"/>
    </row>
  </sheetData>
  <autoFilter ref="B2:H275"/>
  <mergeCells count="35">
    <mergeCell ref="B99:H99"/>
    <mergeCell ref="B246:H246"/>
    <mergeCell ref="B68:H68"/>
    <mergeCell ref="B6:H6"/>
    <mergeCell ref="B95:H95"/>
    <mergeCell ref="B133:H133"/>
    <mergeCell ref="B142:H142"/>
    <mergeCell ref="B169:H169"/>
    <mergeCell ref="B51:H51"/>
    <mergeCell ref="B20:H20"/>
    <mergeCell ref="B76:H76"/>
    <mergeCell ref="B63:H63"/>
    <mergeCell ref="B160:H160"/>
    <mergeCell ref="B79:H79"/>
    <mergeCell ref="B91:H91"/>
    <mergeCell ref="B47:H47"/>
    <mergeCell ref="B138:H138"/>
    <mergeCell ref="B3:H3"/>
    <mergeCell ref="B31:H31"/>
    <mergeCell ref="B58:H58"/>
    <mergeCell ref="B71:H71"/>
    <mergeCell ref="B21:H21"/>
    <mergeCell ref="B43:H43"/>
    <mergeCell ref="B39:H39"/>
    <mergeCell ref="B86:H86"/>
    <mergeCell ref="B219:H219"/>
    <mergeCell ref="B111:H111"/>
    <mergeCell ref="B229:H229"/>
    <mergeCell ref="B250:H250"/>
    <mergeCell ref="B69:H69"/>
    <mergeCell ref="B116:H116"/>
    <mergeCell ref="B191:H191"/>
    <mergeCell ref="B205:H205"/>
    <mergeCell ref="B103:H103"/>
    <mergeCell ref="B168:H168"/>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J382"/>
  <sheetViews>
    <sheetView rightToLeft="1" zoomScaleNormal="100" workbookViewId="0">
      <selection activeCell="A1" sqref="A1:G1048576"/>
    </sheetView>
  </sheetViews>
  <sheetFormatPr baseColWidth="8" defaultColWidth="9.140625" defaultRowHeight="18"/>
  <cols>
    <col width="32.5703125" bestFit="1" customWidth="1" style="1" min="1" max="1"/>
    <col hidden="1" width="39.42578125" customWidth="1" style="1" min="2" max="2"/>
    <col width="28.5703125" customWidth="1" style="67" min="3" max="3"/>
    <col width="10.28515625" customWidth="1" style="1" min="4" max="4"/>
    <col width="6.42578125" customWidth="1" style="1" min="5" max="5"/>
    <col width="9.42578125" customWidth="1" style="7" min="6" max="6"/>
    <col width="6.5703125" customWidth="1" style="9" min="7" max="7"/>
    <col width="9.140625" customWidth="1" style="1" min="8" max="16384"/>
  </cols>
  <sheetData>
    <row r="1" ht="37.7" customHeight="1">
      <c r="A1" s="61" t="inlineStr">
        <is>
          <t>شرح آیتم</t>
        </is>
      </c>
      <c r="B1" s="53" t="inlineStr">
        <is>
          <t>WBS</t>
        </is>
      </c>
      <c r="C1" s="62" t="inlineStr">
        <is>
          <t>اکیپ</t>
        </is>
      </c>
      <c r="D1" s="62" t="inlineStr">
        <is>
          <t>واحد پایش</t>
        </is>
      </c>
      <c r="E1" s="63" t="inlineStr">
        <is>
          <t>راندمان</t>
        </is>
      </c>
      <c r="F1" s="64" t="inlineStr">
        <is>
          <t>تعداد نفر اکیپ</t>
        </is>
      </c>
      <c r="G1" s="65" t="inlineStr">
        <is>
          <t>راندمان هرنفر</t>
        </is>
      </c>
    </row>
    <row r="2" ht="15.75" customHeight="1">
      <c r="A2" s="38" t="inlineStr">
        <is>
          <t>فونداسیون</t>
        </is>
      </c>
      <c r="B2" s="10" t="inlineStr">
        <is>
          <t>فونداسیون</t>
        </is>
      </c>
      <c r="C2" s="10" t="n"/>
      <c r="D2" s="10" t="n"/>
      <c r="E2" s="11" t="n"/>
      <c r="F2" s="12" t="n"/>
      <c r="G2" s="50" t="n"/>
    </row>
    <row r="3" ht="15.75" customHeight="1">
      <c r="A3" s="45" t="inlineStr">
        <is>
          <t>تسطیح و رگلاژ</t>
        </is>
      </c>
      <c r="B3" s="10" t="inlineStr">
        <is>
          <t>فونداسیون</t>
        </is>
      </c>
      <c r="C3" s="31" t="inlineStr">
        <is>
          <t>اکیپ تسطیح و رگلاژ 3 نفره</t>
        </is>
      </c>
      <c r="D3" s="31" t="inlineStr">
        <is>
          <t>متر مربع سطح کف</t>
        </is>
      </c>
      <c r="E3" s="19" t="n">
        <v>120</v>
      </c>
      <c r="F3" s="21" t="n">
        <v>3</v>
      </c>
      <c r="G3" s="51" t="n">
        <v>40</v>
      </c>
    </row>
    <row r="4" ht="15.75" customHeight="1">
      <c r="A4" s="45" t="inlineStr">
        <is>
          <t>اجرای بتن مگر</t>
        </is>
      </c>
      <c r="B4" s="10" t="inlineStr">
        <is>
          <t>فونداسیون</t>
        </is>
      </c>
      <c r="C4" s="31" t="inlineStr">
        <is>
          <t>اکیپ بتن ریزی مگر 3 نفره</t>
        </is>
      </c>
      <c r="D4" s="31" t="inlineStr">
        <is>
          <t>متر مربع</t>
        </is>
      </c>
      <c r="E4" s="19" t="n">
        <v>120</v>
      </c>
      <c r="F4" s="21" t="n">
        <v>3</v>
      </c>
      <c r="G4" s="51" t="n">
        <v>40</v>
      </c>
    </row>
    <row r="5" ht="15.75" customHeight="1">
      <c r="A5" s="45" t="inlineStr">
        <is>
          <t>اجرای عایق رطوبتی فونداسیون</t>
        </is>
      </c>
      <c r="B5" s="10" t="inlineStr">
        <is>
          <t>فونداسیون</t>
        </is>
      </c>
      <c r="C5" s="31" t="inlineStr">
        <is>
          <t>اکیپ اجرای عایق رطوبتی 3 نفره</t>
        </is>
      </c>
      <c r="D5" s="31" t="inlineStr">
        <is>
          <t>متر مربع</t>
        </is>
      </c>
      <c r="E5" s="19" t="n">
        <v>80</v>
      </c>
      <c r="F5" s="21" t="n">
        <v>3</v>
      </c>
      <c r="G5" s="51" t="n">
        <v>27</v>
      </c>
    </row>
    <row r="6" ht="15.75" customHeight="1">
      <c r="A6" s="45" t="inlineStr">
        <is>
          <t>نصب کول چاه فونداسیون</t>
        </is>
      </c>
      <c r="B6" s="10" t="inlineStr">
        <is>
          <t>فونداسیون</t>
        </is>
      </c>
      <c r="C6" s="31" t="inlineStr">
        <is>
          <t>اکیپ بنایی 1 بنا و 1 کارگر ساده</t>
        </is>
      </c>
      <c r="D6" s="31" t="inlineStr">
        <is>
          <t>تعداد چاه</t>
        </is>
      </c>
      <c r="E6" s="19" t="n">
        <v>4</v>
      </c>
      <c r="F6" s="21" t="n">
        <v>2</v>
      </c>
      <c r="G6" s="51" t="n">
        <v>2</v>
      </c>
    </row>
    <row r="7" ht="15.75" customHeight="1">
      <c r="A7" s="45" t="inlineStr">
        <is>
          <t>قالب بندی فونداسیون</t>
        </is>
      </c>
      <c r="B7" s="10" t="inlineStr">
        <is>
          <t>فونداسیون</t>
        </is>
      </c>
      <c r="C7" s="31" t="inlineStr">
        <is>
          <t>اکیپ آرماتوربندی و قالب بندی 2 نفره</t>
        </is>
      </c>
      <c r="D7" s="31" t="inlineStr">
        <is>
          <t>مترمربع</t>
        </is>
      </c>
      <c r="E7" s="19" t="n">
        <v>45</v>
      </c>
      <c r="F7" s="21" t="n">
        <v>2</v>
      </c>
      <c r="G7" s="51" t="n">
        <v>23</v>
      </c>
    </row>
    <row r="8" ht="15.75" customHeight="1">
      <c r="A8" s="45" t="inlineStr">
        <is>
          <t>آرماتوربندی فونداسیون</t>
        </is>
      </c>
      <c r="B8" s="10" t="inlineStr">
        <is>
          <t>فونداسیون</t>
        </is>
      </c>
      <c r="C8" s="31" t="inlineStr">
        <is>
          <t>اکیپ آرماتوربندی و قالب بندی 2 نفره</t>
        </is>
      </c>
      <c r="D8" s="31" t="inlineStr">
        <is>
          <t>کیلوگرم</t>
        </is>
      </c>
      <c r="E8" s="19" t="n">
        <v>1000</v>
      </c>
      <c r="F8" s="21" t="n">
        <v>2</v>
      </c>
      <c r="G8" s="51" t="n">
        <v>500</v>
      </c>
    </row>
    <row r="9" ht="15.75" customHeight="1">
      <c r="A9" s="45" t="inlineStr">
        <is>
          <t>بتن ریزی فونداسیون</t>
        </is>
      </c>
      <c r="B9" s="10" t="inlineStr">
        <is>
          <t>فونداسیون</t>
        </is>
      </c>
      <c r="C9" s="31" t="inlineStr">
        <is>
          <t>اکیپ بتن ریزی با پمپ بتن 4 نفره</t>
        </is>
      </c>
      <c r="D9" s="31" t="inlineStr">
        <is>
          <t>متر مکعب</t>
        </is>
      </c>
      <c r="E9" s="19" t="n">
        <v>60</v>
      </c>
      <c r="F9" s="21" t="n">
        <v>4</v>
      </c>
      <c r="G9" s="51" t="n">
        <v>15</v>
      </c>
    </row>
    <row r="10" ht="15.75" customHeight="1">
      <c r="A10" s="45" t="inlineStr">
        <is>
          <t>نصب بولت و صفحه ستون</t>
        </is>
      </c>
      <c r="B10" s="10" t="inlineStr">
        <is>
          <t>فونداسیون</t>
        </is>
      </c>
      <c r="C10" s="31" t="inlineStr">
        <is>
          <t>اکیپ آرماتوربندی و قالب بندی 2 نفره</t>
        </is>
      </c>
      <c r="D10" s="31" t="inlineStr">
        <is>
          <t>تعداد صفحه ستون</t>
        </is>
      </c>
      <c r="E10" s="19" t="n">
        <v>2</v>
      </c>
      <c r="F10" s="21" t="n">
        <v>2</v>
      </c>
      <c r="G10" s="51">
        <f>E10/F10</f>
        <v/>
      </c>
    </row>
    <row r="11" ht="15.75" customHeight="1">
      <c r="A11" s="45" t="inlineStr">
        <is>
          <t>گروت ریزی</t>
        </is>
      </c>
      <c r="B11" s="10" t="inlineStr">
        <is>
          <t>فونداسیون</t>
        </is>
      </c>
      <c r="C11" s="31" t="inlineStr">
        <is>
          <t>اکیپ گروت ریزی 1 نفره</t>
        </is>
      </c>
      <c r="D11" s="31" t="inlineStr">
        <is>
          <t>تعداد صفحه ستون</t>
        </is>
      </c>
      <c r="E11" s="19" t="n">
        <v>3</v>
      </c>
      <c r="F11" s="21" t="n">
        <v>1</v>
      </c>
      <c r="G11" s="51">
        <f>E11/F11</f>
        <v/>
      </c>
    </row>
    <row r="12" ht="15.75" customHeight="1">
      <c r="A12" s="38" t="inlineStr">
        <is>
          <t>تخریب</t>
        </is>
      </c>
      <c r="B12" s="10" t="inlineStr">
        <is>
          <t>تخریب</t>
        </is>
      </c>
      <c r="C12" s="10" t="n"/>
      <c r="D12" s="10" t="n"/>
      <c r="E12" s="11" t="n"/>
      <c r="F12" s="12" t="n"/>
      <c r="G12" s="51" t="n"/>
    </row>
    <row r="13" ht="15.75" customHeight="1">
      <c r="A13" s="45" t="inlineStr">
        <is>
          <t>تخریب ساختمان قدیمی</t>
        </is>
      </c>
      <c r="B13" s="10" t="inlineStr">
        <is>
          <t>تخریب</t>
        </is>
      </c>
      <c r="C13" s="31" t="inlineStr">
        <is>
          <t>اکیپ تخریب 4 نفره</t>
        </is>
      </c>
      <c r="D13" s="31" t="inlineStr">
        <is>
          <t>مترمربع زیربنا</t>
        </is>
      </c>
      <c r="E13" s="19" t="n">
        <v>11.5</v>
      </c>
      <c r="F13" s="21" t="n">
        <v>4</v>
      </c>
      <c r="G13" s="51">
        <f>E13/F13</f>
        <v/>
      </c>
    </row>
    <row r="14" ht="15.75" customHeight="1">
      <c r="A14" s="45" t="inlineStr">
        <is>
          <t>حمل نخاله</t>
        </is>
      </c>
      <c r="B14" s="10" t="inlineStr">
        <is>
          <t>تخریب</t>
        </is>
      </c>
      <c r="C14" s="31" t="inlineStr">
        <is>
          <t>اکیپ خاکبرداری 2 نفره</t>
        </is>
      </c>
      <c r="D14" s="31" t="inlineStr">
        <is>
          <t>مترمکعب</t>
        </is>
      </c>
      <c r="E14" s="19" t="n">
        <v>100</v>
      </c>
      <c r="F14" s="21" t="n">
        <v>2</v>
      </c>
      <c r="G14" s="51" t="n">
        <v>50</v>
      </c>
    </row>
    <row r="15" ht="15.75" customHeight="1">
      <c r="A15" s="38" t="inlineStr">
        <is>
          <t>تجهیز و برچیدن کارگاه</t>
        </is>
      </c>
      <c r="B15" s="10" t="inlineStr">
        <is>
          <t>تجهیز و برچیدن کارگاه</t>
        </is>
      </c>
      <c r="C15" s="10" t="n"/>
      <c r="D15" s="10" t="n"/>
      <c r="E15" s="11" t="n"/>
      <c r="F15" s="12" t="n"/>
      <c r="G15" s="51" t="n"/>
    </row>
    <row r="16" ht="15.75" customHeight="1">
      <c r="A16" s="45" t="inlineStr">
        <is>
          <t>اجرای حفاظ پیرامونی تجهیز کارگاه</t>
        </is>
      </c>
      <c r="B16" s="10" t="inlineStr">
        <is>
          <t>تجهیز و برچیدن کارگاه</t>
        </is>
      </c>
      <c r="C16" s="31" t="inlineStr">
        <is>
          <t>اکیپ تجهیز و برچیدن کارگاه 2 نفره</t>
        </is>
      </c>
      <c r="D16" s="31" t="inlineStr">
        <is>
          <t>متر طول</t>
        </is>
      </c>
      <c r="E16" s="19" t="n">
        <v>12</v>
      </c>
      <c r="F16" s="21" t="n">
        <v>2</v>
      </c>
      <c r="G16" s="51">
        <f>E16/F16</f>
        <v/>
      </c>
    </row>
    <row r="17" ht="15.75" customHeight="1">
      <c r="A17" s="45" t="inlineStr">
        <is>
          <t>اتصال تاسیسات شهری تجهیز کارگاه</t>
        </is>
      </c>
      <c r="B17" s="10" t="inlineStr">
        <is>
          <t>تجهیز و برچیدن کارگاه</t>
        </is>
      </c>
      <c r="C17" s="31" t="inlineStr">
        <is>
          <t>اکیپ تجهیز و برچیدن کارگاه 2 نفره</t>
        </is>
      </c>
      <c r="D17" s="31" t="inlineStr">
        <is>
          <t>بسته کاری خاص</t>
        </is>
      </c>
      <c r="E17" s="19">
        <f>1/10</f>
        <v/>
      </c>
      <c r="F17" s="21" t="n">
        <v>2</v>
      </c>
      <c r="G17" s="51">
        <f>E17/F17</f>
        <v/>
      </c>
    </row>
    <row r="18" ht="15.75" customHeight="1">
      <c r="A18" s="45" t="inlineStr">
        <is>
          <t>اجرای سازه نگهدارنده کانکس</t>
        </is>
      </c>
      <c r="B18" s="10" t="inlineStr">
        <is>
          <t>تجهیز و برچیدن کارگاه</t>
        </is>
      </c>
      <c r="C18" s="31" t="inlineStr">
        <is>
          <t>اکیپ تجهیز و برچیدن کارگاه 2 نفره</t>
        </is>
      </c>
      <c r="D18" s="31" t="inlineStr">
        <is>
          <t>تعداد کانکس</t>
        </is>
      </c>
      <c r="E18" s="19" t="n">
        <v>1</v>
      </c>
      <c r="F18" s="21" t="n">
        <v>2</v>
      </c>
      <c r="G18" s="51" t="n">
        <v>1</v>
      </c>
    </row>
    <row r="19" ht="15.75" customHeight="1">
      <c r="A19" s="45" t="inlineStr">
        <is>
          <t>نصب کانکس</t>
        </is>
      </c>
      <c r="B19" s="10" t="inlineStr">
        <is>
          <t>تجهیز و برچیدن کارگاه</t>
        </is>
      </c>
      <c r="C19" s="31" t="inlineStr">
        <is>
          <t>اکیپ تجهیز و برچیدن کارگاه 2 نفره</t>
        </is>
      </c>
      <c r="D19" s="31" t="inlineStr">
        <is>
          <t>تعداد کانکس</t>
        </is>
      </c>
      <c r="E19" s="19" t="n">
        <v>1</v>
      </c>
      <c r="F19" s="21" t="n">
        <v>2</v>
      </c>
      <c r="G19" s="51" t="n">
        <v>1</v>
      </c>
    </row>
    <row r="20" ht="15.75" customHeight="1">
      <c r="A20" s="45" t="inlineStr">
        <is>
          <t>اجرای تاسیسات آب و برق تجهیز کارگاه</t>
        </is>
      </c>
      <c r="B20" s="10" t="inlineStr">
        <is>
          <t>تجهیز و برچیدن کارگاه</t>
        </is>
      </c>
      <c r="C20" s="31" t="inlineStr">
        <is>
          <t>اکیپ تجهیز و برچیدن کارگاه 2 نفره</t>
        </is>
      </c>
      <c r="D20" s="31" t="inlineStr">
        <is>
          <t>بسته کاری خاص</t>
        </is>
      </c>
      <c r="E20" s="19">
        <f>1/5</f>
        <v/>
      </c>
      <c r="F20" s="21" t="n">
        <v>2</v>
      </c>
      <c r="G20" s="51">
        <f>E20/F20</f>
        <v/>
      </c>
    </row>
    <row r="21" ht="15.75" customHeight="1">
      <c r="A21" s="45" t="inlineStr">
        <is>
          <t>اجرای فونداسیون تاورکرین</t>
        </is>
      </c>
      <c r="B21" s="10" t="inlineStr">
        <is>
          <t>تجهیز و برچیدن کارگاه</t>
        </is>
      </c>
      <c r="C21" s="31" t="inlineStr">
        <is>
          <t>اکیپ نصب تاورکرین با جرثقیل 4 نفره</t>
        </is>
      </c>
      <c r="D21" s="31" t="inlineStr">
        <is>
          <t>تعداد</t>
        </is>
      </c>
      <c r="E21" s="19" t="n">
        <v>1</v>
      </c>
      <c r="F21" s="21" t="n">
        <v>4</v>
      </c>
      <c r="G21" s="51" t="n">
        <v>0</v>
      </c>
    </row>
    <row r="22" ht="15.75" customHeight="1">
      <c r="A22" s="45" t="inlineStr">
        <is>
          <t>نصب پایه تثبیت تاورکرین</t>
        </is>
      </c>
      <c r="B22" s="10" t="inlineStr">
        <is>
          <t>تجهیز و برچیدن کارگاه</t>
        </is>
      </c>
      <c r="C22" s="31" t="inlineStr">
        <is>
          <t>اکیپ نصب تاورکرین با جرثقیل 4 نفره</t>
        </is>
      </c>
      <c r="D22" s="31" t="inlineStr">
        <is>
          <t>تعداد</t>
        </is>
      </c>
      <c r="E22" s="19" t="n">
        <v>1</v>
      </c>
      <c r="F22" s="21" t="n">
        <v>4</v>
      </c>
      <c r="G22" s="51" t="n">
        <v>1</v>
      </c>
    </row>
    <row r="23" ht="15.75" customHeight="1">
      <c r="A23" s="45" t="inlineStr">
        <is>
          <t>مونتاژ تاورکرین</t>
        </is>
      </c>
      <c r="B23" s="10" t="inlineStr">
        <is>
          <t>تجهیز و برچیدن کارگاه</t>
        </is>
      </c>
      <c r="C23" s="31" t="inlineStr">
        <is>
          <t>اکیپ نصب تاورکرین با جرثقیل 4 نفره</t>
        </is>
      </c>
      <c r="D23" s="31" t="inlineStr">
        <is>
          <t>تعداد</t>
        </is>
      </c>
      <c r="E23" s="19" t="n">
        <v>1</v>
      </c>
      <c r="F23" s="21" t="n">
        <v>4</v>
      </c>
      <c r="G23" s="51" t="n">
        <v>0</v>
      </c>
    </row>
    <row r="24" ht="15.75" customHeight="1">
      <c r="A24" s="45" t="inlineStr">
        <is>
          <t>نصب سکشن تاورکرین</t>
        </is>
      </c>
      <c r="B24" s="10" t="inlineStr">
        <is>
          <t>تجهیز و برچیدن کارگاه</t>
        </is>
      </c>
      <c r="C24" s="31" t="inlineStr">
        <is>
          <t>اکیپ نصب تاورکرین با جرثقیل 4 نفره</t>
        </is>
      </c>
      <c r="D24" s="31" t="inlineStr">
        <is>
          <t>تعداد سکشن</t>
        </is>
      </c>
      <c r="E24" s="19" t="n">
        <v>8</v>
      </c>
      <c r="F24" s="21" t="n">
        <v>4</v>
      </c>
      <c r="G24" s="51">
        <f>E24/F24</f>
        <v/>
      </c>
    </row>
    <row r="25" ht="15.75" customHeight="1">
      <c r="A25" s="45" t="inlineStr">
        <is>
          <t>دمونتاژ تاورکرین</t>
        </is>
      </c>
      <c r="B25" s="10" t="inlineStr">
        <is>
          <t>تجهیز و برچیدن کارگاه</t>
        </is>
      </c>
      <c r="C25" s="31" t="inlineStr">
        <is>
          <t>اکیپ نصب تاورکرین با جرثقیل 4 نفره</t>
        </is>
      </c>
      <c r="D25" s="31" t="inlineStr">
        <is>
          <t>تعداد</t>
        </is>
      </c>
      <c r="E25" s="19" t="n">
        <v>1</v>
      </c>
      <c r="F25" s="21" t="n">
        <v>4</v>
      </c>
      <c r="G25" s="51" t="n">
        <v>0</v>
      </c>
    </row>
    <row r="26" ht="15.75" customHeight="1">
      <c r="A26" s="45" t="inlineStr">
        <is>
          <t>نصب آلیماک</t>
        </is>
      </c>
      <c r="B26" s="10" t="inlineStr">
        <is>
          <t>تجهیز و برچیدن کارگاه</t>
        </is>
      </c>
      <c r="C26" s="31" t="inlineStr">
        <is>
          <t>اکیپ نصب آلیماک 4 نفره</t>
        </is>
      </c>
      <c r="D26" s="31" t="inlineStr">
        <is>
          <t>تعداد</t>
        </is>
      </c>
      <c r="E26" s="19" t="n">
        <v>3</v>
      </c>
      <c r="F26" s="21" t="n">
        <v>4</v>
      </c>
      <c r="G26" s="51" t="n">
        <v>1</v>
      </c>
    </row>
    <row r="27" ht="15.75" customHeight="1">
      <c r="A27" s="45" t="inlineStr">
        <is>
          <t>جمع کردن آلیماک</t>
        </is>
      </c>
      <c r="B27" s="10" t="inlineStr">
        <is>
          <t>تجهیز و برچیدن کارگاه</t>
        </is>
      </c>
      <c r="C27" s="31" t="inlineStr">
        <is>
          <t>اکیپ نصب آلیماک 4 نفره</t>
        </is>
      </c>
      <c r="D27" s="31" t="inlineStr">
        <is>
          <t>تعداد</t>
        </is>
      </c>
      <c r="E27" s="19" t="n">
        <v>2</v>
      </c>
      <c r="F27" s="21" t="n">
        <v>4</v>
      </c>
      <c r="G27" s="51" t="n">
        <v>1</v>
      </c>
    </row>
    <row r="28" ht="15.75" customHeight="1">
      <c r="A28" s="45" t="inlineStr">
        <is>
          <t>کلیه فعالیت های مرتبط با برچیدن کارگاه</t>
        </is>
      </c>
      <c r="B28" s="10" t="inlineStr">
        <is>
          <t>تجهیز و برچیدن کارگاه</t>
        </is>
      </c>
      <c r="C28" s="31" t="inlineStr">
        <is>
          <t>اکیپ تجهیز و برچیدن کارگاه 2 نفره</t>
        </is>
      </c>
      <c r="D28" s="31" t="inlineStr">
        <is>
          <t>بسته کاری خاص</t>
        </is>
      </c>
      <c r="E28" s="19">
        <f>1/60</f>
        <v/>
      </c>
      <c r="F28" s="21" t="n">
        <v>2</v>
      </c>
      <c r="G28" s="51">
        <f>E28/F28</f>
        <v/>
      </c>
    </row>
    <row r="29" ht="15.75" customHeight="1">
      <c r="A29" s="38" t="inlineStr">
        <is>
          <t>گود و سازه نگهبان</t>
        </is>
      </c>
      <c r="B29" s="10" t="inlineStr">
        <is>
          <t>گود و سازه نگهبان</t>
        </is>
      </c>
      <c r="C29" s="10" t="n"/>
      <c r="D29" s="10" t="n"/>
      <c r="E29" s="11" t="n"/>
      <c r="F29" s="12" t="n"/>
      <c r="G29" s="51" t="n"/>
    </row>
    <row r="30" ht="15.75" customHeight="1">
      <c r="A30" s="45" t="inlineStr">
        <is>
          <t>بارگیری و حمل خاک</t>
        </is>
      </c>
      <c r="B30" s="10" t="inlineStr">
        <is>
          <t>گود و سازه نگهبان</t>
        </is>
      </c>
      <c r="C30" s="20" t="inlineStr">
        <is>
          <t>اکیپ بارگیری و حمل خاک متوسط 3 نفره</t>
        </is>
      </c>
      <c r="D30" s="31" t="inlineStr">
        <is>
          <t>مترمکعب</t>
        </is>
      </c>
      <c r="E30" s="19" t="n">
        <v>120</v>
      </c>
      <c r="F30" s="21" t="n">
        <v>3</v>
      </c>
      <c r="G30" s="51" t="n">
        <v>40</v>
      </c>
    </row>
    <row r="31" ht="15.75" customHeight="1">
      <c r="A31" s="45" t="inlineStr">
        <is>
          <t>پانل برداری ماشینی</t>
        </is>
      </c>
      <c r="B31" s="10" t="inlineStr">
        <is>
          <t>گود و سازه نگهبان</t>
        </is>
      </c>
      <c r="C31" s="20" t="inlineStr">
        <is>
          <t>اکیپ پانل برداری ماشینی 1 نفره شامل یک اپراتور به همراه یک دستگاه بیل مکانیکی</t>
        </is>
      </c>
      <c r="D31" s="31" t="inlineStr">
        <is>
          <t>متر مربع سطح دیوار</t>
        </is>
      </c>
      <c r="E31" s="19" t="n">
        <v>38</v>
      </c>
      <c r="F31" s="21" t="n">
        <v>2</v>
      </c>
      <c r="G31" s="51">
        <f>E31/F31</f>
        <v/>
      </c>
    </row>
    <row r="32" ht="15.75" customHeight="1">
      <c r="A32" s="45" t="inlineStr">
        <is>
          <t>اجرای مش و شات کریت</t>
        </is>
      </c>
      <c r="B32" s="10" t="inlineStr">
        <is>
          <t>گود و سازه نگهبان</t>
        </is>
      </c>
      <c r="C32" s="20" t="inlineStr">
        <is>
          <t>اکیپ اجرای مش و شاتکریت متوسط 2 نفره</t>
        </is>
      </c>
      <c r="D32" s="31" t="inlineStr">
        <is>
          <t>مترمربع</t>
        </is>
      </c>
      <c r="E32" s="19">
        <f>(7*0.9)*6</f>
        <v/>
      </c>
      <c r="F32" s="21" t="n">
        <v>2</v>
      </c>
      <c r="G32" s="51">
        <f>E32/F32</f>
        <v/>
      </c>
    </row>
    <row r="33" ht="15.75" customHeight="1">
      <c r="A33" s="45" t="inlineStr">
        <is>
          <t>حفاری گمانه</t>
        </is>
      </c>
      <c r="B33" s="10" t="inlineStr">
        <is>
          <t>گود و سازه نگهبان</t>
        </is>
      </c>
      <c r="C33" s="20" t="inlineStr">
        <is>
          <t>اکیپ حفاری گمانه شمع 2 نفره شامل یک اپراتور و کارگر به همراه یک دستگاه دریل واگن</t>
        </is>
      </c>
      <c r="D33" s="31" t="inlineStr">
        <is>
          <t>مترطول</t>
        </is>
      </c>
      <c r="E33" s="19" t="n">
        <v>57</v>
      </c>
      <c r="F33" s="21" t="n">
        <v>2</v>
      </c>
      <c r="G33" s="51">
        <f>E33/F33</f>
        <v/>
      </c>
    </row>
    <row r="34" ht="15.75" customHeight="1">
      <c r="A34" s="45" t="inlineStr">
        <is>
          <t>آماده سازی، جایگذاری و تزریق استرند</t>
        </is>
      </c>
      <c r="B34" s="10" t="inlineStr">
        <is>
          <t>گود و سازه نگهبان</t>
        </is>
      </c>
      <c r="C34" s="20" t="inlineStr">
        <is>
          <t>اکیپ آماده سازی، جایگذاری و تزریق متوسط 4 نفره</t>
        </is>
      </c>
      <c r="D34" s="31" t="inlineStr">
        <is>
          <t>تعداد</t>
        </is>
      </c>
      <c r="E34" s="19" t="n">
        <v>6</v>
      </c>
      <c r="F34" s="21" t="n">
        <v>4</v>
      </c>
      <c r="G34" s="51">
        <f>E34/F34</f>
        <v/>
      </c>
    </row>
    <row r="35" ht="15.75" customHeight="1">
      <c r="A35" s="45" t="inlineStr">
        <is>
          <t>کشش استرند</t>
        </is>
      </c>
      <c r="B35" s="10" t="inlineStr">
        <is>
          <t>گود و سازه نگهبان</t>
        </is>
      </c>
      <c r="C35" s="20" t="inlineStr">
        <is>
          <t>اکیپ کشش استرند 4 نفره شامل یک تکنسین و سه کارگر</t>
        </is>
      </c>
      <c r="D35" s="31" t="inlineStr">
        <is>
          <t>تعداد</t>
        </is>
      </c>
      <c r="E35" s="19" t="n">
        <v>6.1</v>
      </c>
      <c r="F35" s="21" t="n">
        <v>4</v>
      </c>
      <c r="G35" s="51">
        <f>E35/F35</f>
        <v/>
      </c>
    </row>
    <row r="36" ht="15.75" customHeight="1">
      <c r="A36" s="45" t="inlineStr">
        <is>
          <t>اجرای نیل</t>
        </is>
      </c>
      <c r="B36" s="10" t="inlineStr">
        <is>
          <t>گود و سازه نگهبان</t>
        </is>
      </c>
      <c r="C36" s="20" t="inlineStr">
        <is>
          <t>اکیپ آماده سازی، جایگذاری و تزریق متوسط 4 نفره</t>
        </is>
      </c>
      <c r="D36" s="31" t="inlineStr">
        <is>
          <t>تعداد</t>
        </is>
      </c>
      <c r="E36" s="19" t="n">
        <v>10.94</v>
      </c>
      <c r="F36" s="21" t="n">
        <v>4</v>
      </c>
      <c r="G36" s="51">
        <f>E36/F36</f>
        <v/>
      </c>
    </row>
    <row r="37" ht="15.75" customHeight="1">
      <c r="A37" s="38" t="inlineStr">
        <is>
          <t>دیوار حائل</t>
        </is>
      </c>
      <c r="B37" s="10" t="inlineStr">
        <is>
          <t>دیوار حائل</t>
        </is>
      </c>
      <c r="C37" s="10" t="n"/>
      <c r="D37" s="10" t="n"/>
      <c r="E37" s="11" t="n"/>
      <c r="F37" s="17" t="n"/>
      <c r="G37" s="51" t="n"/>
    </row>
    <row r="38" ht="15.75" customHeight="1">
      <c r="A38" s="45" t="inlineStr">
        <is>
          <t xml:space="preserve">آرماتوربندی دیوار حائل </t>
        </is>
      </c>
      <c r="B38" s="10" t="inlineStr">
        <is>
          <t>دیوار حائل</t>
        </is>
      </c>
      <c r="C38" s="31" t="inlineStr">
        <is>
          <t>اکیپ آرماتوربندی و قالب بندی 2 نفره</t>
        </is>
      </c>
      <c r="D38" s="31" t="inlineStr">
        <is>
          <t>متر مربع</t>
        </is>
      </c>
      <c r="E38" s="19" t="n">
        <v>20</v>
      </c>
      <c r="F38" s="21" t="n">
        <v>2</v>
      </c>
      <c r="G38" s="51">
        <f>E38/F38</f>
        <v/>
      </c>
    </row>
    <row r="39" ht="15.75" customHeight="1">
      <c r="A39" s="45" t="inlineStr">
        <is>
          <t xml:space="preserve">قالب بندی دیوار حائل </t>
        </is>
      </c>
      <c r="B39" s="10" t="inlineStr">
        <is>
          <t>دیوار حائل</t>
        </is>
      </c>
      <c r="C39" s="31" t="inlineStr">
        <is>
          <t>اکیپ آرماتوربندی و قالب بندی 2 نفره</t>
        </is>
      </c>
      <c r="D39" s="31" t="inlineStr">
        <is>
          <t>متر مربع</t>
        </is>
      </c>
      <c r="E39" s="19" t="n">
        <v>28</v>
      </c>
      <c r="F39" s="21" t="n">
        <v>2</v>
      </c>
      <c r="G39" s="51">
        <f>E39/F39</f>
        <v/>
      </c>
      <c r="J39" s="2" t="n"/>
    </row>
    <row r="40" ht="15.75" customHeight="1">
      <c r="A40" s="45" t="inlineStr">
        <is>
          <t xml:space="preserve">بتن ریزی دیوار حائل </t>
        </is>
      </c>
      <c r="B40" s="10" t="inlineStr">
        <is>
          <t>دیوار حائل</t>
        </is>
      </c>
      <c r="C40" s="31" t="inlineStr">
        <is>
          <t>اکیپ بتن ریزی با پمپ بتن 4 نفره</t>
        </is>
      </c>
      <c r="D40" s="31" t="inlineStr">
        <is>
          <t>متر مکعب</t>
        </is>
      </c>
      <c r="E40" s="19" t="n">
        <v>18</v>
      </c>
      <c r="F40" s="21" t="n">
        <v>4</v>
      </c>
      <c r="G40" s="51" t="n">
        <v>5</v>
      </c>
    </row>
    <row r="41" ht="15.75" customHeight="1">
      <c r="A41" s="38" t="inlineStr">
        <is>
          <t>ستون بتنی</t>
        </is>
      </c>
      <c r="B41" s="10" t="inlineStr">
        <is>
          <t>ستون بتنی</t>
        </is>
      </c>
      <c r="C41" s="10" t="n"/>
      <c r="D41" s="10" t="n"/>
      <c r="E41" s="11" t="n"/>
      <c r="F41" s="17" t="n"/>
      <c r="G41" s="51" t="n"/>
    </row>
    <row r="42" ht="15.75" customHeight="1">
      <c r="A42" s="45" t="inlineStr">
        <is>
          <t>آرماتوربندی ستون ها</t>
        </is>
      </c>
      <c r="B42" s="10" t="inlineStr">
        <is>
          <t>ستون بتنی</t>
        </is>
      </c>
      <c r="C42" s="31" t="inlineStr">
        <is>
          <t>اکیپ آرماتوربندی و قالب بندی 2 نفره</t>
        </is>
      </c>
      <c r="D42" s="31" t="inlineStr">
        <is>
          <t>تعداد</t>
        </is>
      </c>
      <c r="E42" s="19" t="n">
        <v>6</v>
      </c>
      <c r="F42" s="21" t="n">
        <v>2</v>
      </c>
      <c r="G42" s="51" t="n">
        <v>3</v>
      </c>
    </row>
    <row r="43" ht="15.75" customHeight="1">
      <c r="A43" s="45" t="inlineStr">
        <is>
          <t>قالب بندی ستون ها</t>
        </is>
      </c>
      <c r="B43" s="10" t="inlineStr">
        <is>
          <t>ستون بتنی</t>
        </is>
      </c>
      <c r="C43" s="31" t="inlineStr">
        <is>
          <t>اکیپ آرماتوربندی و قالب بندی 2 نفره</t>
        </is>
      </c>
      <c r="D43" s="31" t="inlineStr">
        <is>
          <t>تعداد</t>
        </is>
      </c>
      <c r="E43" s="19" t="n">
        <v>8</v>
      </c>
      <c r="F43" s="21" t="n">
        <v>2</v>
      </c>
      <c r="G43" s="51" t="n">
        <v>4</v>
      </c>
    </row>
    <row r="44" ht="15.75" customHeight="1">
      <c r="A44" s="45" t="inlineStr">
        <is>
          <t>بتن ریزی ستون ها</t>
        </is>
      </c>
      <c r="B44" s="10" t="inlineStr">
        <is>
          <t>ستون بتنی</t>
        </is>
      </c>
      <c r="C44" s="31" t="inlineStr">
        <is>
          <t>اکیپ بتن ریزی با پمپ بتن 4 نفره</t>
        </is>
      </c>
      <c r="D44" s="31" t="inlineStr">
        <is>
          <t>تعداد</t>
        </is>
      </c>
      <c r="E44" s="19" t="n">
        <v>10</v>
      </c>
      <c r="F44" s="21" t="n">
        <v>4</v>
      </c>
      <c r="G44" s="51" t="n">
        <v>3</v>
      </c>
    </row>
    <row r="45" ht="15.75" customHeight="1">
      <c r="A45" s="38" t="inlineStr">
        <is>
          <t>سقف دال بتنی</t>
        </is>
      </c>
      <c r="B45" s="10" t="inlineStr">
        <is>
          <t>سقف دال بتنی</t>
        </is>
      </c>
      <c r="C45" s="10" t="n"/>
      <c r="D45" s="10" t="n"/>
      <c r="E45" s="11" t="n"/>
      <c r="F45" s="17" t="n"/>
      <c r="G45" s="51" t="n"/>
    </row>
    <row r="46" ht="15.75" customHeight="1">
      <c r="A46" s="45" t="inlineStr">
        <is>
          <t>قالب بندی  سقف دال بتنی</t>
        </is>
      </c>
      <c r="B46" s="10" t="inlineStr">
        <is>
          <t>سقف دال بتنی</t>
        </is>
      </c>
      <c r="C46" s="31" t="inlineStr">
        <is>
          <t>اکیپ آرماتوربندی و قالب بندی 2 نفره</t>
        </is>
      </c>
      <c r="D46" s="31" t="inlineStr">
        <is>
          <t>متر مربع</t>
        </is>
      </c>
      <c r="E46" s="19" t="n">
        <v>25</v>
      </c>
      <c r="F46" s="21" t="n">
        <v>2</v>
      </c>
      <c r="G46" s="51">
        <f>E46/F46</f>
        <v/>
      </c>
    </row>
    <row r="47" ht="15.75" customHeight="1">
      <c r="A47" s="45" t="inlineStr">
        <is>
          <t>آرماتوربندی سقف دال بتنی</t>
        </is>
      </c>
      <c r="B47" s="10" t="inlineStr">
        <is>
          <t>سقف دال بتنی</t>
        </is>
      </c>
      <c r="C47" s="31" t="inlineStr">
        <is>
          <t>اکیپ آرماتوربندی و قالب بندی 2 نفره</t>
        </is>
      </c>
      <c r="D47" s="31" t="inlineStr">
        <is>
          <t>متر مربع</t>
        </is>
      </c>
      <c r="E47" s="19" t="n">
        <v>40</v>
      </c>
      <c r="F47" s="21" t="n">
        <v>2</v>
      </c>
      <c r="G47" s="51">
        <f>E47/F47</f>
        <v/>
      </c>
    </row>
    <row r="48" ht="15.75" customHeight="1">
      <c r="A48" s="45" t="inlineStr">
        <is>
          <t xml:space="preserve">بتن ریزی سقف دال بتنی </t>
        </is>
      </c>
      <c r="B48" s="10" t="inlineStr">
        <is>
          <t>سقف دال بتنی</t>
        </is>
      </c>
      <c r="C48" s="31" t="inlineStr">
        <is>
          <t>اکیپ بتن ریزی با پمپ بتن 6 نفره</t>
        </is>
      </c>
      <c r="D48" s="31" t="inlineStr">
        <is>
          <t>متر مربع</t>
        </is>
      </c>
      <c r="E48" s="19" t="n">
        <v>400</v>
      </c>
      <c r="F48" s="21" t="n">
        <v>6</v>
      </c>
      <c r="G48" s="51" t="n">
        <v>67</v>
      </c>
    </row>
    <row r="49" ht="15.75" customHeight="1">
      <c r="A49" s="38" t="inlineStr">
        <is>
          <t>اسکلت فلزی</t>
        </is>
      </c>
      <c r="B49" s="10" t="inlineStr">
        <is>
          <t>اسکلت فلزی</t>
        </is>
      </c>
      <c r="C49" s="10" t="n"/>
      <c r="D49" s="10" t="n"/>
      <c r="E49" s="11" t="n"/>
      <c r="F49" s="17" t="n"/>
      <c r="G49" s="51" t="n"/>
    </row>
    <row r="50" ht="15.75" customHeight="1">
      <c r="A50" s="45" t="inlineStr">
        <is>
          <t>نصب ستون</t>
        </is>
      </c>
      <c r="B50" s="10" t="inlineStr">
        <is>
          <t>اسکلت فلزی</t>
        </is>
      </c>
      <c r="C50" s="31" t="inlineStr">
        <is>
          <t>اکیپ نصب تیر و ستون اسکلت فلزی با تاورکرین 4 نفره</t>
        </is>
      </c>
      <c r="D50" s="31" t="inlineStr">
        <is>
          <t>تعداد</t>
        </is>
      </c>
      <c r="E50" s="19" t="n">
        <v>6</v>
      </c>
      <c r="F50" s="21" t="n">
        <v>4</v>
      </c>
      <c r="G50" s="51">
        <f>E50/F50</f>
        <v/>
      </c>
    </row>
    <row r="51" ht="15.75" customHeight="1">
      <c r="A51" s="45" t="inlineStr">
        <is>
          <t>نصب تیر اصلی</t>
        </is>
      </c>
      <c r="B51" s="10" t="inlineStr">
        <is>
          <t>اسکلت فلزی</t>
        </is>
      </c>
      <c r="C51" s="31" t="inlineStr">
        <is>
          <t>اکیپ نصب تیر و ستون اسکلت فلزی با تاورکرین 4 نفره</t>
        </is>
      </c>
      <c r="D51" s="31" t="inlineStr">
        <is>
          <t>تعداد</t>
        </is>
      </c>
      <c r="E51" s="19" t="n">
        <v>16</v>
      </c>
      <c r="F51" s="21" t="n">
        <v>4</v>
      </c>
      <c r="G51" s="51">
        <f>E51/F51</f>
        <v/>
      </c>
    </row>
    <row r="52" ht="15.75" customHeight="1">
      <c r="A52" s="45" t="inlineStr">
        <is>
          <t>شاقول کاری اسکلت فلزی</t>
        </is>
      </c>
      <c r="B52" s="10" t="inlineStr">
        <is>
          <t>اسکلت فلزی</t>
        </is>
      </c>
      <c r="C52" s="31" t="inlineStr">
        <is>
          <t>اکیپ نصب تیر و ستون اسکلت فلزی با تاورکرین 4 نفره</t>
        </is>
      </c>
      <c r="D52" s="31" t="inlineStr">
        <is>
          <t>تعداد ستون</t>
        </is>
      </c>
      <c r="E52" s="19" t="n">
        <v>7</v>
      </c>
      <c r="F52" s="21" t="n">
        <v>4</v>
      </c>
      <c r="G52" s="51">
        <f>E52/F52</f>
        <v/>
      </c>
    </row>
    <row r="53" ht="15.75" customHeight="1">
      <c r="A53" s="45" t="inlineStr">
        <is>
          <t>جوشکاری تکمیلی</t>
        </is>
      </c>
      <c r="B53" s="10" t="inlineStr">
        <is>
          <t>اسکلت فلزی</t>
        </is>
      </c>
      <c r="C53" s="31" t="inlineStr">
        <is>
          <t>اکیپ جوشکاری تکمیلی 1 نفره</t>
        </is>
      </c>
      <c r="D53" s="31" t="inlineStr">
        <is>
          <t>تعداد اتصال تیر اصلی به ستون یا معادل آن</t>
        </is>
      </c>
      <c r="E53" s="19" t="n">
        <v>7</v>
      </c>
      <c r="F53" s="21" t="n">
        <v>1</v>
      </c>
      <c r="G53" s="51">
        <f>E53/F53</f>
        <v/>
      </c>
    </row>
    <row r="54" ht="15.75" customHeight="1">
      <c r="A54" s="45" t="inlineStr">
        <is>
          <t>نصب تیر فرعی</t>
        </is>
      </c>
      <c r="B54" s="10" t="inlineStr">
        <is>
          <t>اسکلت فلزی</t>
        </is>
      </c>
      <c r="C54" s="31" t="inlineStr">
        <is>
          <t>اکیپ نصب تیر فرعی اسکلت فلزی با تاورکرین 4 نفره</t>
        </is>
      </c>
      <c r="D54" s="31" t="inlineStr">
        <is>
          <t>تعداد</t>
        </is>
      </c>
      <c r="E54" s="19" t="n">
        <v>24</v>
      </c>
      <c r="F54" s="21" t="n">
        <v>4</v>
      </c>
      <c r="G54" s="51">
        <f>E54/F54</f>
        <v/>
      </c>
    </row>
    <row r="55" ht="15.75" customHeight="1">
      <c r="A55" s="45" t="inlineStr">
        <is>
          <t>سفت کاری پیچ و مهره</t>
        </is>
      </c>
      <c r="B55" s="10" t="inlineStr">
        <is>
          <t>اسکلت فلزی</t>
        </is>
      </c>
      <c r="C55" s="31" t="inlineStr">
        <is>
          <t>اکیپ سفت کاری پیچ و مهره 2 نفره</t>
        </is>
      </c>
      <c r="D55" s="31" t="inlineStr">
        <is>
          <t>تعداد اتصال تیر اصلی به ستون یا معادل آن</t>
        </is>
      </c>
      <c r="E55" s="19" t="n">
        <v>9</v>
      </c>
      <c r="F55" s="21" t="n">
        <v>2</v>
      </c>
      <c r="G55" s="51">
        <f>E55/F55</f>
        <v/>
      </c>
    </row>
    <row r="56" ht="15.75" customHeight="1">
      <c r="A56" s="38" t="inlineStr">
        <is>
          <t>سقف متال دک</t>
        </is>
      </c>
      <c r="B56" s="10" t="inlineStr">
        <is>
          <t>سقف متال دک</t>
        </is>
      </c>
      <c r="C56" s="10" t="n"/>
      <c r="D56" s="10" t="n"/>
      <c r="E56" s="11" t="n"/>
      <c r="F56" s="17" t="n"/>
      <c r="G56" s="51" t="n"/>
    </row>
    <row r="57" ht="15.75" customHeight="1">
      <c r="A57" s="45" t="inlineStr">
        <is>
          <t>ورق ریزی سقف متال دک</t>
        </is>
      </c>
      <c r="B57" s="10" t="inlineStr">
        <is>
          <t>سقف متال دک</t>
        </is>
      </c>
      <c r="C57" s="31" t="inlineStr">
        <is>
          <t>اکیپ اجرای سقف متال دک 3 نفره</t>
        </is>
      </c>
      <c r="D57" s="31" t="inlineStr">
        <is>
          <t>متر مربع سطح سقف</t>
        </is>
      </c>
      <c r="E57" s="19" t="n">
        <v>300</v>
      </c>
      <c r="F57" s="21" t="n">
        <v>3</v>
      </c>
      <c r="G57" s="51">
        <f>E57/F57</f>
        <v/>
      </c>
    </row>
    <row r="58" ht="15.75" customHeight="1">
      <c r="A58" s="41" t="inlineStr">
        <is>
          <t>اجرای گل میخ سقف متال دک</t>
        </is>
      </c>
      <c r="B58" s="10" t="inlineStr">
        <is>
          <t>سقف متال دک</t>
        </is>
      </c>
      <c r="C58" s="31" t="inlineStr">
        <is>
          <t>اکیپ اجرای سقف متال دک 3 نفره</t>
        </is>
      </c>
      <c r="D58" s="31" t="inlineStr">
        <is>
          <t>متر مربع سطح سقف</t>
        </is>
      </c>
      <c r="E58" s="19" t="n">
        <v>300</v>
      </c>
      <c r="F58" s="21" t="n">
        <v>3</v>
      </c>
      <c r="G58" s="51">
        <f>E58/F58</f>
        <v/>
      </c>
    </row>
    <row r="59" ht="15.75" customHeight="1">
      <c r="A59" s="45" t="inlineStr">
        <is>
          <t>اجرای مش حرارتی سقف متال دک</t>
        </is>
      </c>
      <c r="B59" s="10" t="inlineStr">
        <is>
          <t>سقف متال دک</t>
        </is>
      </c>
      <c r="C59" s="31" t="inlineStr">
        <is>
          <t>اکیپ اجرای سقف متال دک 3 نفره</t>
        </is>
      </c>
      <c r="D59" s="31" t="inlineStr">
        <is>
          <t>متر مربع سطح سقف</t>
        </is>
      </c>
      <c r="E59" s="19" t="n">
        <v>75</v>
      </c>
      <c r="F59" s="21" t="n">
        <v>3</v>
      </c>
      <c r="G59" s="51">
        <f>E59/F59</f>
        <v/>
      </c>
    </row>
    <row r="60" ht="15.75" customHeight="1">
      <c r="A60" s="45" t="inlineStr">
        <is>
          <t>بتن ریزی سقف متال دک</t>
        </is>
      </c>
      <c r="B60" s="10" t="inlineStr">
        <is>
          <t>سقف متال دک</t>
        </is>
      </c>
      <c r="C60" s="31" t="inlineStr">
        <is>
          <t>اکیپ بتن ریزی با پمپ بتن 6 نفره</t>
        </is>
      </c>
      <c r="D60" s="31" t="inlineStr">
        <is>
          <t>متر مربع سطح سقف</t>
        </is>
      </c>
      <c r="E60" s="19" t="n">
        <v>350</v>
      </c>
      <c r="F60" s="21" t="n">
        <v>6</v>
      </c>
      <c r="G60" s="51" t="n">
        <v>58</v>
      </c>
    </row>
    <row r="61" ht="15.75" customHeight="1">
      <c r="A61" s="38" t="inlineStr">
        <is>
          <t>سقف کامپوزیت</t>
        </is>
      </c>
      <c r="B61" s="10" t="inlineStr">
        <is>
          <t>سقف کامپوزیت</t>
        </is>
      </c>
      <c r="C61" s="10" t="n"/>
      <c r="D61" s="10" t="n"/>
      <c r="E61" s="11" t="n"/>
      <c r="F61" s="17" t="n"/>
      <c r="G61" s="51" t="n"/>
    </row>
    <row r="62" ht="15.75" customHeight="1">
      <c r="A62" s="41" t="inlineStr">
        <is>
          <t>قالب بندی سقف کامپوزیت</t>
        </is>
      </c>
      <c r="B62" s="10" t="inlineStr">
        <is>
          <t>سقف کامپوزیت</t>
        </is>
      </c>
      <c r="C62" s="31" t="inlineStr">
        <is>
          <t>اکیپ اجرای سقف کامپوزیت 5 نفره</t>
        </is>
      </c>
      <c r="D62" s="31" t="inlineStr">
        <is>
          <t>متر مربع سطح سقف</t>
        </is>
      </c>
      <c r="E62" s="22" t="n">
        <v>120</v>
      </c>
      <c r="F62" s="21" t="n">
        <v>5</v>
      </c>
      <c r="G62" s="51">
        <f>E62/F62</f>
        <v/>
      </c>
    </row>
    <row r="63" ht="15.75" customHeight="1">
      <c r="A63" s="41" t="inlineStr">
        <is>
          <t>اجرای برشگیرسقف کامپوزیت</t>
        </is>
      </c>
      <c r="B63" s="10" t="inlineStr">
        <is>
          <t>سقف کامپوزیت</t>
        </is>
      </c>
      <c r="C63" s="31" t="inlineStr">
        <is>
          <t>اکیپ اجرای سقف کامپوزیت 5 نفره</t>
        </is>
      </c>
      <c r="D63" s="31" t="inlineStr">
        <is>
          <t>متر مربع سطح سقف</t>
        </is>
      </c>
      <c r="E63" s="19" t="n">
        <v>260</v>
      </c>
      <c r="F63" s="21" t="n">
        <v>5</v>
      </c>
      <c r="G63" s="51">
        <f>E63/F63</f>
        <v/>
      </c>
    </row>
    <row r="64" ht="15.75" customHeight="1">
      <c r="A64" s="41" t="inlineStr">
        <is>
          <t>اجرای مش سقف کامپوزیت</t>
        </is>
      </c>
      <c r="B64" s="10" t="inlineStr">
        <is>
          <t>سقف کامپوزیت</t>
        </is>
      </c>
      <c r="C64" s="31" t="inlineStr">
        <is>
          <t>اکیپ اجرای سقف کامپوزیت 5 نفره</t>
        </is>
      </c>
      <c r="D64" s="31" t="inlineStr">
        <is>
          <t>متر مربع سطح سقف</t>
        </is>
      </c>
      <c r="E64" s="22" t="n">
        <v>75</v>
      </c>
      <c r="F64" s="21" t="n">
        <v>5</v>
      </c>
      <c r="G64" s="51">
        <f>E64/F64</f>
        <v/>
      </c>
    </row>
    <row r="65" ht="15.75" customHeight="1">
      <c r="A65" s="41" t="inlineStr">
        <is>
          <t>بتن ریزی سقف کامپوزیت</t>
        </is>
      </c>
      <c r="B65" s="10" t="inlineStr">
        <is>
          <t>سقف کامپوزیت</t>
        </is>
      </c>
      <c r="C65" s="31" t="inlineStr">
        <is>
          <t>اکیپ اجرای سقف کامپوزیت 5 نفره</t>
        </is>
      </c>
      <c r="D65" s="31" t="inlineStr">
        <is>
          <t>متر مربع سطح سقف</t>
        </is>
      </c>
      <c r="E65" s="22" t="n">
        <v>350</v>
      </c>
      <c r="F65" s="21" t="n">
        <v>5</v>
      </c>
      <c r="G65" s="51" t="n">
        <v>70</v>
      </c>
    </row>
    <row r="66" ht="15.75" customHeight="1">
      <c r="A66" s="38" t="inlineStr">
        <is>
          <t>بسته کاری خاص</t>
        </is>
      </c>
      <c r="B66" s="10" t="n"/>
      <c r="C66" s="10" t="n"/>
      <c r="D66" s="10" t="n"/>
      <c r="E66" s="11" t="n"/>
      <c r="F66" s="17" t="n"/>
      <c r="G66" s="51" t="n"/>
    </row>
    <row r="67">
      <c r="A67" s="42" t="inlineStr">
        <is>
          <t>دیوارچینی</t>
        </is>
      </c>
      <c r="B67" s="23" t="inlineStr">
        <is>
          <t>دیوارچینی</t>
        </is>
      </c>
      <c r="C67" s="24" t="n"/>
      <c r="D67" s="24" t="n"/>
      <c r="E67" s="25" t="n"/>
      <c r="F67" s="26" t="n"/>
      <c r="G67" s="51" t="n"/>
    </row>
    <row r="68" ht="15.75" customHeight="1">
      <c r="A68" s="48" t="inlineStr">
        <is>
          <t>یک رگه چینی/ آجر فشاری</t>
        </is>
      </c>
      <c r="B68" s="23" t="inlineStr">
        <is>
          <t>دیوارچینی</t>
        </is>
      </c>
      <c r="C68" s="35" t="inlineStr">
        <is>
          <t>اکیپ یک رگه چینی 3 نفره</t>
        </is>
      </c>
      <c r="D68" s="35" t="inlineStr">
        <is>
          <t>متر طول</t>
        </is>
      </c>
      <c r="E68" s="28" t="n">
        <v>55</v>
      </c>
      <c r="F68" s="29" t="n">
        <v>3</v>
      </c>
      <c r="G68" s="51">
        <f>E68/F68</f>
        <v/>
      </c>
    </row>
    <row r="69" ht="15.75" customHeight="1">
      <c r="A69" s="48" t="inlineStr">
        <is>
          <t>تیغه چینی/ بلوک سیمانی</t>
        </is>
      </c>
      <c r="B69" s="23" t="inlineStr">
        <is>
          <t>دیوارچینی</t>
        </is>
      </c>
      <c r="C69" s="35" t="inlineStr">
        <is>
          <t>اکیپ تیغه چینی 2 نفره</t>
        </is>
      </c>
      <c r="D69" s="35" t="inlineStr">
        <is>
          <t>متر مربع دیوار 10 سانت یا معادل آن</t>
        </is>
      </c>
      <c r="E69" s="28" t="n">
        <v>25</v>
      </c>
      <c r="F69" s="29" t="n">
        <v>2</v>
      </c>
      <c r="G69" s="51">
        <f>E69/F69</f>
        <v/>
      </c>
    </row>
    <row r="70" ht="15.75" customHeight="1">
      <c r="A70" s="48" t="inlineStr">
        <is>
          <t>تیغه چینی/ لیکا</t>
        </is>
      </c>
      <c r="B70" s="23" t="inlineStr">
        <is>
          <t>دیوارچینی</t>
        </is>
      </c>
      <c r="C70" s="35" t="inlineStr">
        <is>
          <t>اکیپ تیغه چینی 2 نفره</t>
        </is>
      </c>
      <c r="D70" s="35" t="inlineStr">
        <is>
          <t>متر مربع دیوار 10 سانت یا معادل آن</t>
        </is>
      </c>
      <c r="E70" s="28" t="n">
        <v>30</v>
      </c>
      <c r="F70" s="29" t="n">
        <v>2</v>
      </c>
      <c r="G70" s="51">
        <f>E70/F70</f>
        <v/>
      </c>
    </row>
    <row r="71" ht="15.75" customHeight="1">
      <c r="A71" s="48" t="inlineStr">
        <is>
          <t>آجرکاری پله/ آجر فشاری</t>
        </is>
      </c>
      <c r="B71" s="23" t="inlineStr">
        <is>
          <t>دیوارچینی</t>
        </is>
      </c>
      <c r="C71" s="35" t="inlineStr">
        <is>
          <t>اکیپ تیغه چینی 2 نفره</t>
        </is>
      </c>
      <c r="D71" s="35" t="inlineStr">
        <is>
          <t>تعداد پله</t>
        </is>
      </c>
      <c r="E71" s="28" t="n">
        <v>20</v>
      </c>
      <c r="F71" s="29" t="n">
        <v>2</v>
      </c>
      <c r="G71" s="51">
        <f>E71/F71</f>
        <v/>
      </c>
    </row>
    <row r="72">
      <c r="A72" s="42" t="inlineStr">
        <is>
          <t>ایزولاسیون رطوبتی با ایزوگام</t>
        </is>
      </c>
      <c r="B72" s="23" t="inlineStr">
        <is>
          <t>ایزولاسیون رطوبتی با ایزوگام</t>
        </is>
      </c>
      <c r="C72" s="24" t="n"/>
      <c r="D72" s="24" t="n"/>
      <c r="E72" s="25" t="n"/>
      <c r="F72" s="26" t="n"/>
      <c r="G72" s="51" t="n"/>
    </row>
    <row r="73" ht="15.75" customHeight="1">
      <c r="A73" s="48" t="inlineStr">
        <is>
          <t>ایزولاسیون کف/ ایزوگام/ فضای کوچک</t>
        </is>
      </c>
      <c r="B73" s="23" t="inlineStr">
        <is>
          <t>ایزولاسیون رطوبتی با ایزوگام</t>
        </is>
      </c>
      <c r="C73" s="35" t="inlineStr">
        <is>
          <t>اکیپ ایزولاسیون 2 نفره</t>
        </is>
      </c>
      <c r="D73" s="35" t="inlineStr">
        <is>
          <t>متر مربع</t>
        </is>
      </c>
      <c r="E73" s="30" t="n">
        <v>31</v>
      </c>
      <c r="F73" s="29" t="n">
        <v>2</v>
      </c>
      <c r="G73" s="51">
        <f>E73/F73</f>
        <v/>
      </c>
    </row>
    <row r="74" ht="15.75" customHeight="1">
      <c r="A74" s="48" t="inlineStr">
        <is>
          <t>ایزولاسیون کف/  ایزوگام/ فضای متوسط</t>
        </is>
      </c>
      <c r="B74" s="23" t="inlineStr">
        <is>
          <t>ایزولاسیون رطوبتی با ایزوگام</t>
        </is>
      </c>
      <c r="C74" s="35" t="inlineStr">
        <is>
          <t>اکیپ ایزولاسیون 2 نفره</t>
        </is>
      </c>
      <c r="D74" s="35" t="inlineStr">
        <is>
          <t>متر مربع</t>
        </is>
      </c>
      <c r="E74" s="28" t="n">
        <v>45</v>
      </c>
      <c r="F74" s="29" t="n">
        <v>2</v>
      </c>
      <c r="G74" s="51">
        <f>E74/F74</f>
        <v/>
      </c>
    </row>
    <row r="75" ht="15.75" customHeight="1">
      <c r="A75" s="48" t="inlineStr">
        <is>
          <t>ایزولاسیون کف/  ایزوگام/ فضای بزرگ</t>
        </is>
      </c>
      <c r="B75" s="23" t="inlineStr">
        <is>
          <t>ایزولاسیون رطوبتی با ایزوگام</t>
        </is>
      </c>
      <c r="C75" s="35" t="inlineStr">
        <is>
          <t>اکیپ ایزولاسیون 2 نفره</t>
        </is>
      </c>
      <c r="D75" s="35" t="inlineStr">
        <is>
          <t>متر مربع</t>
        </is>
      </c>
      <c r="E75" s="30" t="n">
        <v>59</v>
      </c>
      <c r="F75" s="29" t="n">
        <v>2</v>
      </c>
      <c r="G75" s="51">
        <f>E75/F75</f>
        <v/>
      </c>
    </row>
    <row r="76" ht="15.75" customHeight="1">
      <c r="A76" s="48" t="inlineStr">
        <is>
          <t>ایزولاسیون دیوار/ ایزوگام</t>
        </is>
      </c>
      <c r="B76" s="23" t="inlineStr">
        <is>
          <t>ایزولاسیون رطوبتی با ایزوگام</t>
        </is>
      </c>
      <c r="C76" s="35" t="inlineStr">
        <is>
          <t>اکیپ ایزولاسیون 2 نفره</t>
        </is>
      </c>
      <c r="D76" s="35" t="inlineStr">
        <is>
          <t>متر مربع</t>
        </is>
      </c>
      <c r="E76" s="28" t="n">
        <v>60</v>
      </c>
      <c r="F76" s="29" t="n">
        <v>2</v>
      </c>
      <c r="G76" s="51">
        <f>E76/F76</f>
        <v/>
      </c>
    </row>
    <row r="77">
      <c r="A77" s="42" t="inlineStr">
        <is>
          <t>پوکه ریزی معدنی و اندود</t>
        </is>
      </c>
      <c r="B77" s="23" t="inlineStr">
        <is>
          <t>پوکه ریزی معدنی و اندود</t>
        </is>
      </c>
      <c r="C77" s="24" t="n"/>
      <c r="D77" s="24" t="n"/>
      <c r="E77" s="25" t="n"/>
      <c r="F77" s="26" t="n"/>
      <c r="G77" s="51" t="n"/>
    </row>
    <row r="78" ht="15.75" customHeight="1">
      <c r="A78" s="48" t="inlineStr">
        <is>
          <t>پوکه ریزی/ فضای متوسط</t>
        </is>
      </c>
      <c r="B78" s="23" t="inlineStr">
        <is>
          <t>پوکه ریزی معدنی و اندود</t>
        </is>
      </c>
      <c r="C78" s="35" t="inlineStr">
        <is>
          <t>اکیپ بنایی 2 نفره</t>
        </is>
      </c>
      <c r="D78" s="35" t="inlineStr">
        <is>
          <t>متر مربع</t>
        </is>
      </c>
      <c r="E78" s="28" t="n">
        <v>60</v>
      </c>
      <c r="F78" s="29" t="n">
        <v>2</v>
      </c>
      <c r="G78" s="51">
        <f>E78/F78</f>
        <v/>
      </c>
    </row>
    <row r="79" ht="15.75" customHeight="1">
      <c r="A79" s="48" t="inlineStr">
        <is>
          <t>پوکه ریزی و شیب بندی/ فضای متوسط</t>
        </is>
      </c>
      <c r="B79" s="23" t="inlineStr">
        <is>
          <t>پوکه ریزی معدنی و اندود</t>
        </is>
      </c>
      <c r="C79" s="35" t="inlineStr">
        <is>
          <t>اکیپ بنایی 2 نفره</t>
        </is>
      </c>
      <c r="D79" s="35" t="inlineStr">
        <is>
          <t>متر مربع</t>
        </is>
      </c>
      <c r="E79" s="28" t="n">
        <v>50</v>
      </c>
      <c r="F79" s="29" t="n">
        <v>2</v>
      </c>
      <c r="G79" s="51">
        <f>E79/F79</f>
        <v/>
      </c>
    </row>
    <row r="80" ht="15.75" customHeight="1">
      <c r="A80" s="48" t="inlineStr">
        <is>
          <t>اجرای اندود محافظ عایق/ فضای متوسط</t>
        </is>
      </c>
      <c r="B80" s="23" t="inlineStr">
        <is>
          <t>پوکه ریزی معدنی و اندود</t>
        </is>
      </c>
      <c r="C80" s="35" t="inlineStr">
        <is>
          <t>اکیپ بنایی 2 نفره</t>
        </is>
      </c>
      <c r="D80" s="35" t="inlineStr">
        <is>
          <t>متر مربع</t>
        </is>
      </c>
      <c r="E80" s="28" t="n">
        <v>75</v>
      </c>
      <c r="F80" s="29" t="n">
        <v>2</v>
      </c>
      <c r="G80" s="51">
        <f>E80/F80</f>
        <v/>
      </c>
    </row>
    <row r="81" ht="15.75" customHeight="1">
      <c r="A81" s="48" t="inlineStr">
        <is>
          <t>اجرای فوم بتن/ فضای متوسط</t>
        </is>
      </c>
      <c r="B81" s="23" t="inlineStr">
        <is>
          <t>پوکه ریزی معدنی و اندود</t>
        </is>
      </c>
      <c r="C81" s="35" t="inlineStr">
        <is>
          <t>اکیپ اجرای فوم بتن</t>
        </is>
      </c>
      <c r="D81" s="35" t="inlineStr">
        <is>
          <t>متر مربع</t>
        </is>
      </c>
      <c r="E81" s="28" t="n">
        <v>150</v>
      </c>
      <c r="F81" s="29" t="n">
        <v>2</v>
      </c>
      <c r="G81" s="51">
        <f>E81/F81</f>
        <v/>
      </c>
    </row>
    <row r="82" ht="15.75" customHeight="1">
      <c r="A82" s="48" t="inlineStr">
        <is>
          <t>کف سازی/ تسطیح و کوبیدن خاک</t>
        </is>
      </c>
      <c r="B82" s="23" t="inlineStr">
        <is>
          <t>پوکه ریزی معدنی و اندود</t>
        </is>
      </c>
      <c r="C82" s="35" t="inlineStr">
        <is>
          <t>اکیپ بنایی 2 نفره</t>
        </is>
      </c>
      <c r="D82" s="35" t="inlineStr">
        <is>
          <t>متر مربع</t>
        </is>
      </c>
      <c r="E82" s="28" t="n">
        <v>40</v>
      </c>
      <c r="F82" s="29" t="n">
        <v>2</v>
      </c>
      <c r="G82" s="51">
        <f>E82/F82</f>
        <v/>
      </c>
    </row>
    <row r="83" ht="15.75" customHeight="1">
      <c r="A83" s="48" t="inlineStr">
        <is>
          <t>کف سازی زمین طبیعی/ بلوکاژ</t>
        </is>
      </c>
      <c r="B83" s="23" t="inlineStr">
        <is>
          <t>پوکه ریزی معدنی و اندود</t>
        </is>
      </c>
      <c r="C83" s="35" t="inlineStr">
        <is>
          <t>اکیپ بنایی 2 نفره</t>
        </is>
      </c>
      <c r="D83" s="35" t="inlineStr">
        <is>
          <t>متر مربع</t>
        </is>
      </c>
      <c r="E83" s="28" t="n">
        <v>80</v>
      </c>
      <c r="F83" s="29" t="n">
        <v>2</v>
      </c>
      <c r="G83" s="51">
        <f>E83/F83</f>
        <v/>
      </c>
    </row>
    <row r="84">
      <c r="A84" s="42" t="inlineStr">
        <is>
          <t>سقف کاذب کناف</t>
        </is>
      </c>
      <c r="B84" s="23" t="inlineStr">
        <is>
          <t>سقف کاذب کناف</t>
        </is>
      </c>
      <c r="C84" s="24" t="n"/>
      <c r="D84" s="24" t="n"/>
      <c r="E84" s="25" t="n"/>
      <c r="F84" s="26" t="n"/>
      <c r="G84" s="51" t="n"/>
    </row>
    <row r="85" ht="15.75" customHeight="1">
      <c r="A85" s="48" t="inlineStr">
        <is>
          <t>زیرسازی سقف کاذب/ کناف/ فضای متوسط</t>
        </is>
      </c>
      <c r="B85" s="23" t="inlineStr">
        <is>
          <t>سقف کاذب کناف</t>
        </is>
      </c>
      <c r="C85" s="35" t="inlineStr">
        <is>
          <t>اکیپ کناف کار 2 نفره</t>
        </is>
      </c>
      <c r="D85" s="35" t="inlineStr">
        <is>
          <t>متر مربع</t>
        </is>
      </c>
      <c r="E85" s="28" t="n">
        <v>40</v>
      </c>
      <c r="F85" s="29" t="n">
        <v>2</v>
      </c>
      <c r="G85" s="51">
        <f>E85/F85</f>
        <v/>
      </c>
    </row>
    <row r="86" ht="15.75" customHeight="1">
      <c r="A86" s="48" t="inlineStr">
        <is>
          <t>پانل ریزی سقف کاذب/ کناف/ فضای متوسط</t>
        </is>
      </c>
      <c r="B86" s="23" t="inlineStr">
        <is>
          <t>سقف کاذب کناف</t>
        </is>
      </c>
      <c r="C86" s="35" t="inlineStr">
        <is>
          <t>اکیپ کناف کار 2 نفره</t>
        </is>
      </c>
      <c r="D86" s="35" t="inlineStr">
        <is>
          <t>متر مربع</t>
        </is>
      </c>
      <c r="E86" s="28" t="n">
        <v>44</v>
      </c>
      <c r="F86" s="29" t="n">
        <v>2</v>
      </c>
      <c r="G86" s="51">
        <f>E86/F86</f>
        <v/>
      </c>
    </row>
    <row r="87" ht="15.75" customHeight="1">
      <c r="A87" s="48" t="inlineStr">
        <is>
          <t>بتونه کاری سقف کاذب/ کناف/ فضای متوسط</t>
        </is>
      </c>
      <c r="B87" s="23" t="inlineStr">
        <is>
          <t>سقف کاذب کناف</t>
        </is>
      </c>
      <c r="C87" s="35" t="inlineStr">
        <is>
          <t>اکیپ کناف کار 2 نفره</t>
        </is>
      </c>
      <c r="D87" s="35" t="inlineStr">
        <is>
          <t>متر مربع</t>
        </is>
      </c>
      <c r="E87" s="28" t="n">
        <v>60</v>
      </c>
      <c r="F87" s="29" t="n">
        <v>2</v>
      </c>
      <c r="G87" s="51">
        <f>E87/F87</f>
        <v/>
      </c>
    </row>
    <row r="88" ht="15.75" customHeight="1">
      <c r="A88" s="48" t="inlineStr">
        <is>
          <t>تایل ریزی سقف کاذب/ کناف</t>
        </is>
      </c>
      <c r="B88" s="23" t="inlineStr">
        <is>
          <t>سقف کاذب کناف</t>
        </is>
      </c>
      <c r="C88" s="35" t="inlineStr">
        <is>
          <t>اکیپ کناف کار 2 نفره</t>
        </is>
      </c>
      <c r="D88" s="35" t="inlineStr">
        <is>
          <t>متر مربع</t>
        </is>
      </c>
      <c r="E88" s="28" t="n">
        <v>120</v>
      </c>
      <c r="F88" s="29" t="n">
        <v>2</v>
      </c>
      <c r="G88" s="51">
        <f>E88/F88</f>
        <v/>
      </c>
    </row>
    <row r="89">
      <c r="A89" s="42" t="inlineStr">
        <is>
          <t>زیرسازی و نقاشی سطوح گچی</t>
        </is>
      </c>
      <c r="B89" s="23" t="inlineStr">
        <is>
          <t>زیرسازی و نقاشی سطوح گچی</t>
        </is>
      </c>
      <c r="C89" s="24" t="n"/>
      <c r="D89" s="24" t="n"/>
      <c r="E89" s="25" t="n"/>
      <c r="F89" s="26" t="n"/>
      <c r="G89" s="51" t="n"/>
    </row>
    <row r="90" ht="15.75" customHeight="1">
      <c r="A90" s="48" t="inlineStr">
        <is>
          <t>زیرسازی و نقاشی سقف/ سطوح گچی/ فضای کوچک</t>
        </is>
      </c>
      <c r="B90" s="23" t="inlineStr">
        <is>
          <t>زیرسازی و نقاشی سطوح گچی</t>
        </is>
      </c>
      <c r="C90" s="35" t="inlineStr">
        <is>
          <t>اکیپ نقاشی 1 نفره</t>
        </is>
      </c>
      <c r="D90" s="35" t="inlineStr">
        <is>
          <t>متر مربع</t>
        </is>
      </c>
      <c r="E90" s="30" t="n">
        <v>19</v>
      </c>
      <c r="F90" s="29" t="n">
        <v>1</v>
      </c>
      <c r="G90" s="51">
        <f>E90/F90</f>
        <v/>
      </c>
    </row>
    <row r="91" ht="15.75" customHeight="1">
      <c r="A91" s="48" t="inlineStr">
        <is>
          <t>زیرسازی و نقاشی سقف/ سطوح گچی/ فضای متوسط</t>
        </is>
      </c>
      <c r="B91" s="23" t="inlineStr">
        <is>
          <t>زیرسازی و نقاشی سطوح گچی</t>
        </is>
      </c>
      <c r="C91" s="35" t="inlineStr">
        <is>
          <t>اکیپ نقاشی 1 نفره</t>
        </is>
      </c>
      <c r="D91" s="35" t="inlineStr">
        <is>
          <t>متر مربع</t>
        </is>
      </c>
      <c r="E91" s="28" t="n">
        <v>28</v>
      </c>
      <c r="F91" s="29" t="n">
        <v>1</v>
      </c>
      <c r="G91" s="51">
        <f>E91/F91</f>
        <v/>
      </c>
    </row>
    <row r="92" ht="15.75" customHeight="1">
      <c r="A92" s="48" t="inlineStr">
        <is>
          <t>زیرسازی و نقاشی سقف/ سطوح گچی/ فضای بزرگ</t>
        </is>
      </c>
      <c r="B92" s="23" t="inlineStr">
        <is>
          <t>زیرسازی و نقاشی سطوح گچی</t>
        </is>
      </c>
      <c r="C92" s="35" t="inlineStr">
        <is>
          <t>اکیپ نقاشی 1 نفره</t>
        </is>
      </c>
      <c r="D92" s="35" t="inlineStr">
        <is>
          <t>متر مربع</t>
        </is>
      </c>
      <c r="E92" s="30" t="n">
        <v>37</v>
      </c>
      <c r="F92" s="29" t="n">
        <v>1</v>
      </c>
      <c r="G92" s="51">
        <f>E92/F92</f>
        <v/>
      </c>
    </row>
    <row r="93" ht="15.75" customHeight="1">
      <c r="A93" s="48" t="inlineStr">
        <is>
          <t>زیرسازی و نقاشی دیوار/ سطوح گچی/ فضای کوچک</t>
        </is>
      </c>
      <c r="B93" s="23" t="inlineStr">
        <is>
          <t>زیرسازی و نقاشی سطوح گچی</t>
        </is>
      </c>
      <c r="C93" s="35" t="inlineStr">
        <is>
          <t>اکیپ نقاشی 1 نفره</t>
        </is>
      </c>
      <c r="D93" s="35" t="inlineStr">
        <is>
          <t>متر مربع</t>
        </is>
      </c>
      <c r="E93" s="30" t="n">
        <v>22</v>
      </c>
      <c r="F93" s="29" t="n">
        <v>1</v>
      </c>
      <c r="G93" s="51">
        <f>E93/F93</f>
        <v/>
      </c>
    </row>
    <row r="94" ht="15.75" customHeight="1">
      <c r="A94" s="48" t="inlineStr">
        <is>
          <t>زیرسازی و نقاشی دیوار/ سطوح گچی/ فضای متوسط</t>
        </is>
      </c>
      <c r="B94" s="23" t="inlineStr">
        <is>
          <t>زیرسازی و نقاشی سطوح گچی</t>
        </is>
      </c>
      <c r="C94" s="35" t="inlineStr">
        <is>
          <t>اکیپ نقاشی 1 نفره</t>
        </is>
      </c>
      <c r="D94" s="35" t="inlineStr">
        <is>
          <t>متر مربع</t>
        </is>
      </c>
      <c r="E94" s="28" t="n">
        <v>32</v>
      </c>
      <c r="F94" s="29" t="n">
        <v>1</v>
      </c>
      <c r="G94" s="51">
        <f>E94/F94</f>
        <v/>
      </c>
    </row>
    <row r="95" ht="15.75" customHeight="1">
      <c r="A95" s="44" t="inlineStr">
        <is>
          <t>زیرسازی و نقاشی دیوار/ سطوح گچی/ فضای بزرگ</t>
        </is>
      </c>
      <c r="B95" s="23" t="inlineStr">
        <is>
          <t>زیرسازی و نقاشی سطوح گچی</t>
        </is>
      </c>
      <c r="C95" s="35" t="inlineStr">
        <is>
          <t>اکیپ نقاشی 1 نفره</t>
        </is>
      </c>
      <c r="D95" s="35" t="inlineStr">
        <is>
          <t>متر مربع</t>
        </is>
      </c>
      <c r="E95" s="30" t="n">
        <v>42</v>
      </c>
      <c r="F95" s="29" t="n">
        <v>1</v>
      </c>
      <c r="G95" s="51">
        <f>E95/F95</f>
        <v/>
      </c>
    </row>
    <row r="96" ht="15.75" customHeight="1">
      <c r="A96" s="45" t="inlineStr">
        <is>
          <t>زیرسازی و ماستیک دیوار/ فضای متوسط</t>
        </is>
      </c>
      <c r="B96" s="23" t="inlineStr">
        <is>
          <t>زیرسازی و نقاشی سطوح گچی</t>
        </is>
      </c>
      <c r="C96" s="35" t="inlineStr">
        <is>
          <t>اکیپ نقاشی 1 نفره</t>
        </is>
      </c>
      <c r="D96" s="35" t="inlineStr">
        <is>
          <t>متر مربع</t>
        </is>
      </c>
      <c r="E96" s="30" t="n">
        <v>30</v>
      </c>
      <c r="F96" s="29" t="n">
        <v>1</v>
      </c>
      <c r="G96" s="51">
        <f>E96/F96</f>
        <v/>
      </c>
    </row>
    <row r="97">
      <c r="A97" s="42" t="inlineStr">
        <is>
          <t>نقاشی سطوح سیمانی</t>
        </is>
      </c>
      <c r="B97" s="23" t="inlineStr">
        <is>
          <t>نقاشی سطوح سیمانی</t>
        </is>
      </c>
      <c r="C97" s="24" t="n"/>
      <c r="D97" s="24" t="n"/>
      <c r="E97" s="25" t="n"/>
      <c r="F97" s="26" t="n"/>
      <c r="G97" s="51" t="n"/>
    </row>
    <row r="98" ht="15.75" customHeight="1">
      <c r="A98" s="48" t="inlineStr">
        <is>
          <t>نقاشی دیوار/ سطوح سیمانی/ فضای کوچک</t>
        </is>
      </c>
      <c r="B98" s="23" t="inlineStr">
        <is>
          <t>نقاشی سطوح سیمانی</t>
        </is>
      </c>
      <c r="C98" s="35" t="inlineStr">
        <is>
          <t>اکیپ نقاشی 1 نفره</t>
        </is>
      </c>
      <c r="D98" s="35" t="inlineStr">
        <is>
          <t>متر مربع</t>
        </is>
      </c>
      <c r="E98" s="30" t="n">
        <v>31</v>
      </c>
      <c r="F98" s="29" t="n">
        <v>1</v>
      </c>
      <c r="G98" s="51">
        <f>E98/F98</f>
        <v/>
      </c>
    </row>
    <row r="99" ht="15.75" customHeight="1">
      <c r="A99" s="48" t="inlineStr">
        <is>
          <t>نقاشی دیوار/ سطوح سیمانی/ فضای متوسط</t>
        </is>
      </c>
      <c r="B99" s="23" t="inlineStr">
        <is>
          <t>نقاشی سطوح سیمانی</t>
        </is>
      </c>
      <c r="C99" s="35" t="inlineStr">
        <is>
          <t>اکیپ نقاشی 1 نفره</t>
        </is>
      </c>
      <c r="D99" s="35" t="inlineStr">
        <is>
          <t>متر مربع</t>
        </is>
      </c>
      <c r="E99" s="28" t="n">
        <v>45</v>
      </c>
      <c r="F99" s="29" t="n">
        <v>1</v>
      </c>
      <c r="G99" s="51">
        <f>E99/F99</f>
        <v/>
      </c>
    </row>
    <row r="100" ht="15.75" customHeight="1">
      <c r="A100" s="48" t="inlineStr">
        <is>
          <t>نقاشی دیوار/ سطوح سیمانی/ فضای بزرگ</t>
        </is>
      </c>
      <c r="B100" s="23" t="inlineStr">
        <is>
          <t>نقاشی سطوح سیمانی</t>
        </is>
      </c>
      <c r="C100" s="35" t="inlineStr">
        <is>
          <t>اکیپ نقاشی 1 نفره</t>
        </is>
      </c>
      <c r="D100" s="35" t="inlineStr">
        <is>
          <t>متر مربع</t>
        </is>
      </c>
      <c r="E100" s="30" t="n">
        <v>59</v>
      </c>
      <c r="F100" s="29" t="n">
        <v>1</v>
      </c>
      <c r="G100" s="51">
        <f>E100/F100</f>
        <v/>
      </c>
    </row>
    <row r="101" ht="15.75" customHeight="1">
      <c r="A101" s="48" t="inlineStr">
        <is>
          <t>نقاشی سقف/ سطوح سیمانی/ فضای کوچک</t>
        </is>
      </c>
      <c r="B101" s="23" t="inlineStr">
        <is>
          <t>نقاشی سطوح سیمانی</t>
        </is>
      </c>
      <c r="C101" s="35" t="inlineStr">
        <is>
          <t>اکیپ نقاشی 1 نفره</t>
        </is>
      </c>
      <c r="D101" s="35" t="inlineStr">
        <is>
          <t>متر مربع</t>
        </is>
      </c>
      <c r="E101" s="30" t="n">
        <v>24</v>
      </c>
      <c r="F101" s="29" t="n">
        <v>1</v>
      </c>
      <c r="G101" s="51">
        <f>E101/F101</f>
        <v/>
      </c>
    </row>
    <row r="102" ht="15.75" customHeight="1">
      <c r="A102" s="44" t="inlineStr">
        <is>
          <t>نقاشی سقف/ سطوح سیمانی/ فضای متوسط</t>
        </is>
      </c>
      <c r="B102" s="23" t="inlineStr">
        <is>
          <t>نقاشی سطوح سیمانی</t>
        </is>
      </c>
      <c r="C102" s="35" t="inlineStr">
        <is>
          <t>اکیپ نقاشی 1 نفره</t>
        </is>
      </c>
      <c r="D102" s="35" t="inlineStr">
        <is>
          <t>متر مربع</t>
        </is>
      </c>
      <c r="E102" s="28" t="n">
        <v>35</v>
      </c>
      <c r="F102" s="29" t="n">
        <v>1</v>
      </c>
      <c r="G102" s="51">
        <f>E102/F102</f>
        <v/>
      </c>
    </row>
    <row r="103" ht="15.75" customHeight="1">
      <c r="A103" s="44" t="inlineStr">
        <is>
          <t>نقاشی سقف/ سطوح سیمانی/ فضای بزرگ</t>
        </is>
      </c>
      <c r="B103" s="23" t="inlineStr">
        <is>
          <t>نقاشی سطوح سیمانی</t>
        </is>
      </c>
      <c r="C103" s="35" t="inlineStr">
        <is>
          <t>اکیپ نقاشی 1 نفره</t>
        </is>
      </c>
      <c r="D103" s="35" t="inlineStr">
        <is>
          <t>متر مربع</t>
        </is>
      </c>
      <c r="E103" s="30" t="n">
        <v>46</v>
      </c>
      <c r="F103" s="29" t="n">
        <v>1</v>
      </c>
      <c r="G103" s="51">
        <f>E103/F103</f>
        <v/>
      </c>
    </row>
    <row r="104" ht="15.75" customHeight="1">
      <c r="A104" s="44" t="inlineStr">
        <is>
          <t>اجرای رنگ ضد حریق</t>
        </is>
      </c>
      <c r="B104" s="23" t="inlineStr">
        <is>
          <t>نقاشی سطوح سیمانی</t>
        </is>
      </c>
      <c r="C104" s="35" t="inlineStr">
        <is>
          <t>اکیپ نقاشی ضد حریق 2 نفره</t>
        </is>
      </c>
      <c r="D104" s="35" t="inlineStr">
        <is>
          <t>متر مربع</t>
        </is>
      </c>
      <c r="E104" s="30" t="n">
        <v>96</v>
      </c>
      <c r="F104" s="29" t="n">
        <v>2</v>
      </c>
      <c r="G104" s="51">
        <f>E104/F104</f>
        <v/>
      </c>
    </row>
    <row r="105">
      <c r="A105" s="42" t="inlineStr">
        <is>
          <t>شاسی کشی و رابیتس بندی</t>
        </is>
      </c>
      <c r="B105" s="23" t="inlineStr">
        <is>
          <t>شاسی کشی و رابیتس بندی</t>
        </is>
      </c>
      <c r="C105" s="24" t="n"/>
      <c r="D105" s="24" t="n"/>
      <c r="E105" s="25" t="n"/>
      <c r="F105" s="26" t="n"/>
      <c r="G105" s="51" t="n"/>
    </row>
    <row r="106" ht="15.75" customHeight="1">
      <c r="A106" s="48" t="inlineStr">
        <is>
          <t>شاسی کشی سقف کاذب/ فضای کوچک</t>
        </is>
      </c>
      <c r="B106" s="23" t="inlineStr">
        <is>
          <t>شاسی کشی و رابیتس بندی</t>
        </is>
      </c>
      <c r="C106" s="35" t="inlineStr">
        <is>
          <t>اکیپ شاسی کشی سقف کاذب 2 نفره</t>
        </is>
      </c>
      <c r="D106" s="35" t="inlineStr">
        <is>
          <t>متر مربع</t>
        </is>
      </c>
      <c r="E106" s="30" t="n">
        <v>17</v>
      </c>
      <c r="F106" s="29" t="n">
        <v>2</v>
      </c>
      <c r="G106" s="51">
        <f>E106/F106</f>
        <v/>
      </c>
    </row>
    <row r="107" ht="15.75" customHeight="1">
      <c r="A107" s="48" t="inlineStr">
        <is>
          <t>شاسی کشی سقف کاذب/ فضای متوسط</t>
        </is>
      </c>
      <c r="B107" s="23" t="inlineStr">
        <is>
          <t>شاسی کشی و رابیتس بندی</t>
        </is>
      </c>
      <c r="C107" s="35" t="inlineStr">
        <is>
          <t>اکیپ شاسی کشی سقف کاذب 2 نفره</t>
        </is>
      </c>
      <c r="D107" s="35" t="inlineStr">
        <is>
          <t>متر مربع</t>
        </is>
      </c>
      <c r="E107" s="28" t="n">
        <v>25</v>
      </c>
      <c r="F107" s="29" t="n">
        <v>2</v>
      </c>
      <c r="G107" s="51">
        <f>E107/F107</f>
        <v/>
      </c>
    </row>
    <row r="108" ht="15.75" customHeight="1">
      <c r="A108" s="44" t="inlineStr">
        <is>
          <t>شاسی کشی سقف کاذب/ فضای بزرگ</t>
        </is>
      </c>
      <c r="B108" s="23" t="inlineStr">
        <is>
          <t>شاسی کشی و رابیتس بندی</t>
        </is>
      </c>
      <c r="C108" s="35" t="inlineStr">
        <is>
          <t>اکیپ شاسی کشی سقف کاذب 2 نفره</t>
        </is>
      </c>
      <c r="D108" s="35" t="inlineStr">
        <is>
          <t>متر مربع</t>
        </is>
      </c>
      <c r="E108" s="30" t="n">
        <v>33</v>
      </c>
      <c r="F108" s="29" t="n">
        <v>2</v>
      </c>
      <c r="G108" s="51">
        <f>E108/F108</f>
        <v/>
      </c>
    </row>
    <row r="109" ht="15.75" customHeight="1">
      <c r="A109" s="48" t="inlineStr">
        <is>
          <t>رابیتس بندی سقف کاذب/ فضای کوچک</t>
        </is>
      </c>
      <c r="B109" s="23" t="inlineStr">
        <is>
          <t>شاسی کشی و رابیتس بندی</t>
        </is>
      </c>
      <c r="C109" s="35" t="inlineStr">
        <is>
          <t>اکیپ رابیتس بندی سقف کاذب 1 نفره</t>
        </is>
      </c>
      <c r="D109" s="35" t="inlineStr">
        <is>
          <t>متر مربع</t>
        </is>
      </c>
      <c r="E109" s="30" t="n">
        <v>35</v>
      </c>
      <c r="F109" s="29" t="n">
        <v>1</v>
      </c>
      <c r="G109" s="51">
        <f>E109/F109</f>
        <v/>
      </c>
    </row>
    <row r="110" ht="15.75" customHeight="1">
      <c r="A110" s="48" t="inlineStr">
        <is>
          <t>رابیتس بندی سقف کاذب/ فضای متوسط</t>
        </is>
      </c>
      <c r="B110" s="23" t="inlineStr">
        <is>
          <t>شاسی کشی و رابیتس بندی</t>
        </is>
      </c>
      <c r="C110" s="35" t="inlineStr">
        <is>
          <t>اکیپ رابیتس بندی سقف کاذب 1 نفره</t>
        </is>
      </c>
      <c r="D110" s="35" t="inlineStr">
        <is>
          <t>متر مربع</t>
        </is>
      </c>
      <c r="E110" s="28" t="n">
        <v>50</v>
      </c>
      <c r="F110" s="29" t="n">
        <v>1</v>
      </c>
      <c r="G110" s="51">
        <f>E110/F110</f>
        <v/>
      </c>
    </row>
    <row r="111" ht="15.75" customHeight="1">
      <c r="A111" s="44" t="inlineStr">
        <is>
          <t>رابیتس بندی سقف کاذب/ فضای بزرگ</t>
        </is>
      </c>
      <c r="B111" s="23" t="inlineStr">
        <is>
          <t>شاسی کشی و رابیتس بندی</t>
        </is>
      </c>
      <c r="C111" s="35" t="inlineStr">
        <is>
          <t>اکیپ رابیتس بندی سقف کاذب 1 نفره</t>
        </is>
      </c>
      <c r="D111" s="35" t="inlineStr">
        <is>
          <t>متر مربع</t>
        </is>
      </c>
      <c r="E111" s="30" t="n">
        <v>65</v>
      </c>
      <c r="F111" s="29" t="n">
        <v>1</v>
      </c>
      <c r="G111" s="51">
        <f>E111/F111</f>
        <v/>
      </c>
    </row>
    <row r="112" ht="15.75" customHeight="1">
      <c r="A112" s="48" t="inlineStr">
        <is>
          <t>شاسی کشی و رابیتس بندی دور ستون های میانی</t>
        </is>
      </c>
      <c r="B112" s="23" t="inlineStr">
        <is>
          <t>شاسی کشی و رابیتس بندی</t>
        </is>
      </c>
      <c r="C112" s="35" t="inlineStr">
        <is>
          <t>اکیپ شاسی کشی سقف کاذب 2 نفره</t>
        </is>
      </c>
      <c r="D112" s="35" t="inlineStr">
        <is>
          <t>تعداد ستون</t>
        </is>
      </c>
      <c r="E112" s="28" t="n">
        <v>3</v>
      </c>
      <c r="F112" s="29" t="n">
        <v>2</v>
      </c>
      <c r="G112" s="51">
        <f>E112/F112</f>
        <v/>
      </c>
    </row>
    <row r="113">
      <c r="A113" s="42" t="inlineStr">
        <is>
          <t>گچ کاری</t>
        </is>
      </c>
      <c r="B113" s="23" t="inlineStr">
        <is>
          <t>گچ کاری</t>
        </is>
      </c>
      <c r="C113" s="24" t="n"/>
      <c r="D113" s="24" t="n"/>
      <c r="E113" s="25" t="n"/>
      <c r="F113" s="26" t="n"/>
      <c r="G113" s="51" t="n"/>
    </row>
    <row r="114" ht="15.75" customHeight="1">
      <c r="A114" s="48" t="inlineStr">
        <is>
          <t>گچ کاری آستر دیوار/ فضای کوچک</t>
        </is>
      </c>
      <c r="B114" s="23" t="inlineStr">
        <is>
          <t>گچ کاری</t>
        </is>
      </c>
      <c r="C114" s="35" t="inlineStr">
        <is>
          <t>اکیپ گچ کاری 3 نفره</t>
        </is>
      </c>
      <c r="D114" s="35" t="inlineStr">
        <is>
          <t>متر مربع</t>
        </is>
      </c>
      <c r="E114" s="30" t="n">
        <v>35</v>
      </c>
      <c r="F114" s="29" t="n">
        <v>3</v>
      </c>
      <c r="G114" s="51">
        <f>E114/F114</f>
        <v/>
      </c>
    </row>
    <row r="115" ht="15.75" customHeight="1">
      <c r="A115" s="48" t="inlineStr">
        <is>
          <t>گچ کاری آستر دیوار/ فضای متوسط</t>
        </is>
      </c>
      <c r="B115" s="23" t="inlineStr">
        <is>
          <t>گچ کاری</t>
        </is>
      </c>
      <c r="C115" s="35" t="inlineStr">
        <is>
          <t>اکیپ گچ کاری 3 نفره</t>
        </is>
      </c>
      <c r="D115" s="35" t="inlineStr">
        <is>
          <t>متر مربع</t>
        </is>
      </c>
      <c r="E115" s="28" t="n">
        <v>50</v>
      </c>
      <c r="F115" s="29" t="n">
        <v>3</v>
      </c>
      <c r="G115" s="51">
        <f>E115/F115</f>
        <v/>
      </c>
    </row>
    <row r="116" ht="15.75" customHeight="1">
      <c r="A116" s="44" t="inlineStr">
        <is>
          <t>گچ کاری آستر دیوار/ فضای بزرگ</t>
        </is>
      </c>
      <c r="B116" s="23" t="inlineStr">
        <is>
          <t>گچ کاری</t>
        </is>
      </c>
      <c r="C116" s="35" t="inlineStr">
        <is>
          <t>اکیپ گچ کاری 3 نفره</t>
        </is>
      </c>
      <c r="D116" s="35" t="inlineStr">
        <is>
          <t>متر مربع</t>
        </is>
      </c>
      <c r="E116" s="30" t="n">
        <v>65</v>
      </c>
      <c r="F116" s="29" t="n">
        <v>3</v>
      </c>
      <c r="G116" s="51">
        <f>E116/F116</f>
        <v/>
      </c>
    </row>
    <row r="117" ht="15.75" customHeight="1">
      <c r="A117" s="48" t="inlineStr">
        <is>
          <t>گچ کاری رویه دیوار/ فضای کوچک</t>
        </is>
      </c>
      <c r="B117" s="23" t="inlineStr">
        <is>
          <t>گچ کاری</t>
        </is>
      </c>
      <c r="C117" s="35" t="inlineStr">
        <is>
          <t>اکیپ گچ کاری 3 نفره</t>
        </is>
      </c>
      <c r="D117" s="35" t="inlineStr">
        <is>
          <t>متر مربع</t>
        </is>
      </c>
      <c r="E117" s="30" t="n">
        <v>42</v>
      </c>
      <c r="F117" s="29" t="n">
        <v>3</v>
      </c>
      <c r="G117" s="51">
        <f>E117/F117</f>
        <v/>
      </c>
    </row>
    <row r="118" ht="15.75" customHeight="1">
      <c r="A118" s="48" t="inlineStr">
        <is>
          <t>گچ کاری رویه دیوار/ فضای متوسط</t>
        </is>
      </c>
      <c r="B118" s="23" t="inlineStr">
        <is>
          <t>گچ کاری</t>
        </is>
      </c>
      <c r="C118" s="35" t="inlineStr">
        <is>
          <t>اکیپ گچ کاری 3 نفره</t>
        </is>
      </c>
      <c r="D118" s="35" t="inlineStr">
        <is>
          <t>متر مربع</t>
        </is>
      </c>
      <c r="E118" s="28" t="n">
        <v>60</v>
      </c>
      <c r="F118" s="29" t="n">
        <v>3</v>
      </c>
      <c r="G118" s="51">
        <f>E118/F118</f>
        <v/>
      </c>
    </row>
    <row r="119" ht="15.75" customHeight="1">
      <c r="A119" s="44" t="inlineStr">
        <is>
          <t>گچ کاری رویه دیوار/ فضای بزرگ</t>
        </is>
      </c>
      <c r="B119" s="23" t="inlineStr">
        <is>
          <t>گچ کاری</t>
        </is>
      </c>
      <c r="C119" s="35" t="inlineStr">
        <is>
          <t>اکیپ گچ کاری 3 نفره</t>
        </is>
      </c>
      <c r="D119" s="35" t="inlineStr">
        <is>
          <t>متر مربع</t>
        </is>
      </c>
      <c r="E119" s="30" t="n">
        <v>78</v>
      </c>
      <c r="F119" s="29" t="n">
        <v>3</v>
      </c>
      <c r="G119" s="51">
        <f>E119/F119</f>
        <v/>
      </c>
    </row>
    <row r="120" ht="15.75" customHeight="1">
      <c r="A120" s="48" t="inlineStr">
        <is>
          <t>گچ کاری و اجرای ابزار گچی سقف کاذب/ ابزار عادی/ فضای کوچک</t>
        </is>
      </c>
      <c r="B120" s="23" t="inlineStr">
        <is>
          <t>گچ کاری</t>
        </is>
      </c>
      <c r="C120" s="35" t="inlineStr">
        <is>
          <t>اکیپ گچ کاری 3 نفره</t>
        </is>
      </c>
      <c r="D120" s="35" t="inlineStr">
        <is>
          <t>متر مربع</t>
        </is>
      </c>
      <c r="E120" s="30" t="n">
        <v>23</v>
      </c>
      <c r="F120" s="29" t="n">
        <v>3</v>
      </c>
      <c r="G120" s="51">
        <f>E120/F120</f>
        <v/>
      </c>
    </row>
    <row r="121" ht="15.75" customHeight="1">
      <c r="A121" s="48" t="inlineStr">
        <is>
          <t>گچ کاری و اجرای ابزار گچی سقف کاذب/ ابزار عادی/ فضای متوسط</t>
        </is>
      </c>
      <c r="B121" s="23" t="inlineStr">
        <is>
          <t>گچ کاری</t>
        </is>
      </c>
      <c r="C121" s="35" t="inlineStr">
        <is>
          <t>اکیپ گچ کاری 3 نفره</t>
        </is>
      </c>
      <c r="D121" s="35" t="inlineStr">
        <is>
          <t>متر مربع</t>
        </is>
      </c>
      <c r="E121" s="28" t="n">
        <v>33</v>
      </c>
      <c r="F121" s="29" t="n">
        <v>3</v>
      </c>
      <c r="G121" s="51">
        <f>E121/F121</f>
        <v/>
      </c>
    </row>
    <row r="122" ht="15.75" customHeight="1">
      <c r="A122" s="44" t="inlineStr">
        <is>
          <t>گچ کاری و اجرای ابزار گچی سقف کاذب/ ابزار عادی/ فضای بزرگ</t>
        </is>
      </c>
      <c r="B122" s="23" t="inlineStr">
        <is>
          <t>گچ کاری</t>
        </is>
      </c>
      <c r="C122" s="35" t="inlineStr">
        <is>
          <t>اکیپ گچ کاری 3 نفره</t>
        </is>
      </c>
      <c r="D122" s="35" t="inlineStr">
        <is>
          <t>متر مربع</t>
        </is>
      </c>
      <c r="E122" s="30" t="n">
        <v>43</v>
      </c>
      <c r="F122" s="29" t="n">
        <v>3</v>
      </c>
      <c r="G122" s="51">
        <f>E122/F122</f>
        <v/>
      </c>
    </row>
    <row r="123" ht="15.75" customHeight="1">
      <c r="A123" s="44" t="inlineStr">
        <is>
          <t>گچ کاری و اجرای ابزار گچی سقف کاذب/ ابزار پیچیده/ فضای کوچک</t>
        </is>
      </c>
      <c r="B123" s="23" t="inlineStr">
        <is>
          <t>گچ کاری</t>
        </is>
      </c>
      <c r="C123" s="35" t="inlineStr">
        <is>
          <t>اکیپ گچ کاری 3 نفره</t>
        </is>
      </c>
      <c r="D123" s="35" t="inlineStr">
        <is>
          <t>متر مربع</t>
        </is>
      </c>
      <c r="E123" s="30" t="n">
        <v>14</v>
      </c>
      <c r="F123" s="29" t="n">
        <v>3</v>
      </c>
      <c r="G123" s="51">
        <f>E123/F123</f>
        <v/>
      </c>
    </row>
    <row r="124" ht="15.75" customHeight="1">
      <c r="A124" s="48" t="inlineStr">
        <is>
          <t>گچ کاری و اجرای ابزار گچی سقف کاذب/ ابزار پیچیده/ فضای متوسط</t>
        </is>
      </c>
      <c r="B124" s="23" t="inlineStr">
        <is>
          <t>گچ کاری</t>
        </is>
      </c>
      <c r="C124" s="35" t="inlineStr">
        <is>
          <t>اکیپ گچ کاری 3 نفره</t>
        </is>
      </c>
      <c r="D124" s="35" t="inlineStr">
        <is>
          <t>متر مربع</t>
        </is>
      </c>
      <c r="E124" s="28" t="n">
        <v>20</v>
      </c>
      <c r="F124" s="29" t="n">
        <v>3</v>
      </c>
      <c r="G124" s="51">
        <f>E124/F124</f>
        <v/>
      </c>
    </row>
    <row r="125" ht="15.75" customHeight="1">
      <c r="A125" s="44" t="inlineStr">
        <is>
          <t>گچ کاری و اجرای ابزار گچی سقف کاذب/ ابزار پیچیده/ فضای بزرگ</t>
        </is>
      </c>
      <c r="B125" s="23" t="inlineStr">
        <is>
          <t>گچ کاری</t>
        </is>
      </c>
      <c r="C125" s="35" t="inlineStr">
        <is>
          <t>اکیپ گچ کاری 3 نفره</t>
        </is>
      </c>
      <c r="D125" s="35" t="inlineStr">
        <is>
          <t>متر مربع</t>
        </is>
      </c>
      <c r="E125" s="30" t="n">
        <v>26</v>
      </c>
      <c r="F125" s="29" t="n">
        <v>3</v>
      </c>
      <c r="G125" s="51">
        <f>E125/F125</f>
        <v/>
      </c>
    </row>
    <row r="126" ht="15.75" customHeight="1">
      <c r="A126" s="48" t="inlineStr">
        <is>
          <t>گچ کاری سقف/ فضای کوچک</t>
        </is>
      </c>
      <c r="B126" s="23" t="inlineStr">
        <is>
          <t>گچ کاری</t>
        </is>
      </c>
      <c r="C126" s="35" t="inlineStr">
        <is>
          <t>اکیپ گچ کاری 3 نفره</t>
        </is>
      </c>
      <c r="D126" s="35" t="inlineStr">
        <is>
          <t>متر مربع</t>
        </is>
      </c>
      <c r="E126" s="30" t="n">
        <v>30</v>
      </c>
      <c r="F126" s="29" t="n">
        <v>3</v>
      </c>
      <c r="G126" s="51">
        <f>E126/F126</f>
        <v/>
      </c>
    </row>
    <row r="127" ht="15.75" customHeight="1">
      <c r="A127" s="44" t="inlineStr">
        <is>
          <t>گچ کاری سقف/ فضای متوسط</t>
        </is>
      </c>
      <c r="B127" s="23" t="inlineStr">
        <is>
          <t>گچ کاری</t>
        </is>
      </c>
      <c r="C127" s="35" t="inlineStr">
        <is>
          <t>اکیپ گچ کاری 3 نفره</t>
        </is>
      </c>
      <c r="D127" s="35" t="inlineStr">
        <is>
          <t>متر مربع</t>
        </is>
      </c>
      <c r="E127" s="28" t="n">
        <v>44</v>
      </c>
      <c r="F127" s="29" t="n">
        <v>3</v>
      </c>
      <c r="G127" s="51">
        <f>E127/F127</f>
        <v/>
      </c>
    </row>
    <row r="128" ht="15.75" customHeight="1">
      <c r="A128" s="44" t="inlineStr">
        <is>
          <t>گچ کاری سقف/ فضای بزرگ</t>
        </is>
      </c>
      <c r="B128" s="23" t="inlineStr">
        <is>
          <t>گچ کاری</t>
        </is>
      </c>
      <c r="C128" s="35" t="inlineStr">
        <is>
          <t>اکیپ گچ کاری 3 نفره</t>
        </is>
      </c>
      <c r="D128" s="35" t="inlineStr">
        <is>
          <t>متر مربع</t>
        </is>
      </c>
      <c r="E128" s="30" t="n">
        <v>58</v>
      </c>
      <c r="F128" s="29" t="n">
        <v>3</v>
      </c>
      <c r="G128" s="51">
        <f>E128/F128</f>
        <v/>
      </c>
    </row>
    <row r="129" ht="15.75" customHeight="1">
      <c r="A129" s="44" t="inlineStr">
        <is>
          <t>اجرای چفت گچی/ فضای کوچک</t>
        </is>
      </c>
      <c r="B129" s="23" t="inlineStr">
        <is>
          <t>گچ کاری</t>
        </is>
      </c>
      <c r="C129" s="35" t="inlineStr">
        <is>
          <t>اکیپ گچ کاری 3 نفره</t>
        </is>
      </c>
      <c r="D129" s="35" t="inlineStr">
        <is>
          <t>متر طول</t>
        </is>
      </c>
      <c r="E129" s="30" t="n">
        <v>19</v>
      </c>
      <c r="F129" s="29" t="n">
        <v>3</v>
      </c>
      <c r="G129" s="51">
        <f>E129/F129</f>
        <v/>
      </c>
    </row>
    <row r="130" ht="15.75" customHeight="1">
      <c r="A130" s="48" t="inlineStr">
        <is>
          <t>اجرای چفت گچی/ فضای متوسط</t>
        </is>
      </c>
      <c r="B130" s="23" t="inlineStr">
        <is>
          <t>گچ کاری</t>
        </is>
      </c>
      <c r="C130" s="35" t="inlineStr">
        <is>
          <t>اکیپ گچ کاری 3 نفره</t>
        </is>
      </c>
      <c r="D130" s="35" t="inlineStr">
        <is>
          <t>متر طول</t>
        </is>
      </c>
      <c r="E130" s="28" t="n">
        <v>28</v>
      </c>
      <c r="F130" s="29" t="n">
        <v>3</v>
      </c>
      <c r="G130" s="51">
        <f>E130/F130</f>
        <v/>
      </c>
    </row>
    <row r="131" ht="15.75" customHeight="1">
      <c r="A131" s="48" t="inlineStr">
        <is>
          <t>اجرای چفت گچی/ فضای بزرگ</t>
        </is>
      </c>
      <c r="B131" s="23" t="inlineStr">
        <is>
          <t>گچ کاری</t>
        </is>
      </c>
      <c r="C131" s="35" t="inlineStr">
        <is>
          <t>اکیپ گچ کاری 3 نفره</t>
        </is>
      </c>
      <c r="D131" s="35" t="inlineStr">
        <is>
          <t>متر طول</t>
        </is>
      </c>
      <c r="E131" s="30" t="n">
        <v>37</v>
      </c>
      <c r="F131" s="29" t="n">
        <v>3</v>
      </c>
      <c r="G131" s="51">
        <f>E131/F131</f>
        <v/>
      </c>
    </row>
    <row r="132">
      <c r="A132" s="42" t="inlineStr">
        <is>
          <t>سیمان کاری</t>
        </is>
      </c>
      <c r="B132" s="23" t="inlineStr">
        <is>
          <t>سیمان کاری</t>
        </is>
      </c>
      <c r="C132" s="24" t="n"/>
      <c r="D132" s="24" t="n"/>
      <c r="E132" s="25" t="n"/>
      <c r="F132" s="26" t="n"/>
      <c r="G132" s="51" t="n"/>
    </row>
    <row r="133" ht="15.75" customHeight="1">
      <c r="A133" s="46" t="inlineStr">
        <is>
          <t>سیمان کاری آستر دیوار/ فضای کوچک</t>
        </is>
      </c>
      <c r="B133" s="23" t="inlineStr">
        <is>
          <t>سیمان کاری</t>
        </is>
      </c>
      <c r="C133" s="32" t="inlineStr">
        <is>
          <t>اکیپ سیمان کاری 3 نفره</t>
        </is>
      </c>
      <c r="D133" s="32" t="inlineStr">
        <is>
          <t>متر مربع</t>
        </is>
      </c>
      <c r="E133" s="30" t="n">
        <v>35</v>
      </c>
      <c r="F133" s="33" t="n">
        <v>3</v>
      </c>
      <c r="G133" s="51">
        <f>E133/F133</f>
        <v/>
      </c>
    </row>
    <row r="134" ht="15.75" customHeight="1">
      <c r="A134" s="46" t="inlineStr">
        <is>
          <t>سیمان کاری آستر دیوار/ فضای متوسط</t>
        </is>
      </c>
      <c r="B134" s="23" t="inlineStr">
        <is>
          <t>سیمان کاری</t>
        </is>
      </c>
      <c r="C134" s="32" t="inlineStr">
        <is>
          <t>اکیپ سیمان کاری 3 نفره</t>
        </is>
      </c>
      <c r="D134" s="32" t="inlineStr">
        <is>
          <t>متر مربع</t>
        </is>
      </c>
      <c r="E134" s="28" t="n">
        <v>50</v>
      </c>
      <c r="F134" s="33" t="n">
        <v>3</v>
      </c>
      <c r="G134" s="51">
        <f>E134/F134</f>
        <v/>
      </c>
    </row>
    <row r="135" ht="15.75" customHeight="1">
      <c r="A135" s="46" t="inlineStr">
        <is>
          <t>سیمان کاری آستر دیوار/ فضای بزرگ</t>
        </is>
      </c>
      <c r="B135" s="23" t="inlineStr">
        <is>
          <t>سیمان کاری</t>
        </is>
      </c>
      <c r="C135" s="32" t="inlineStr">
        <is>
          <t>اکیپ سیمان کاری 3 نفره</t>
        </is>
      </c>
      <c r="D135" s="32" t="inlineStr">
        <is>
          <t>متر مربع</t>
        </is>
      </c>
      <c r="E135" s="30" t="n">
        <v>65</v>
      </c>
      <c r="F135" s="33" t="n">
        <v>3</v>
      </c>
      <c r="G135" s="51">
        <f>E135/F135</f>
        <v/>
      </c>
    </row>
    <row r="136" ht="15.75" customHeight="1">
      <c r="A136" s="46" t="inlineStr">
        <is>
          <t>سیمان کاری رویه دیوار/ فضای کوچک</t>
        </is>
      </c>
      <c r="B136" s="23" t="inlineStr">
        <is>
          <t>سیمان کاری</t>
        </is>
      </c>
      <c r="C136" s="32" t="inlineStr">
        <is>
          <t>اکیپ سیمان کاری 3 نفره</t>
        </is>
      </c>
      <c r="D136" s="32" t="inlineStr">
        <is>
          <t>متر مربع</t>
        </is>
      </c>
      <c r="E136" s="30" t="n">
        <v>52</v>
      </c>
      <c r="F136" s="33" t="n">
        <v>3</v>
      </c>
      <c r="G136" s="51">
        <f>E136/F136</f>
        <v/>
      </c>
    </row>
    <row r="137" ht="15.75" customHeight="1">
      <c r="A137" s="46" t="inlineStr">
        <is>
          <t>سیمان کاری رویه دیوار/ فضای متوسط</t>
        </is>
      </c>
      <c r="B137" s="23" t="inlineStr">
        <is>
          <t>سیمان کاری</t>
        </is>
      </c>
      <c r="C137" s="32" t="inlineStr">
        <is>
          <t>اکیپ سیمان کاری 3 نفره</t>
        </is>
      </c>
      <c r="D137" s="32" t="inlineStr">
        <is>
          <t>متر مربع</t>
        </is>
      </c>
      <c r="E137" s="28" t="n">
        <v>75</v>
      </c>
      <c r="F137" s="33" t="n">
        <v>3</v>
      </c>
      <c r="G137" s="51">
        <f>E137/F137</f>
        <v/>
      </c>
    </row>
    <row r="138" ht="15.75" customHeight="1">
      <c r="A138" s="46" t="inlineStr">
        <is>
          <t>سیمان کاری رویه دیوار/ فضای بزرگ</t>
        </is>
      </c>
      <c r="B138" s="23" t="inlineStr">
        <is>
          <t>سیمان کاری</t>
        </is>
      </c>
      <c r="C138" s="32" t="inlineStr">
        <is>
          <t>اکیپ سیمان کاری 3 نفره</t>
        </is>
      </c>
      <c r="D138" s="32" t="inlineStr">
        <is>
          <t>متر مربع</t>
        </is>
      </c>
      <c r="E138" s="30" t="n">
        <v>98</v>
      </c>
      <c r="F138" s="33" t="n">
        <v>3</v>
      </c>
      <c r="G138" s="51">
        <f>E138/F138</f>
        <v/>
      </c>
    </row>
    <row r="139" ht="15.75" customHeight="1">
      <c r="A139" s="46" t="inlineStr">
        <is>
          <t>سیمان کاری سقف کاذب/ فضای کوچک</t>
        </is>
      </c>
      <c r="B139" s="23" t="inlineStr">
        <is>
          <t>سیمان کاری</t>
        </is>
      </c>
      <c r="C139" s="32" t="inlineStr">
        <is>
          <t>اکیپ سیمان کاری 3 نفره</t>
        </is>
      </c>
      <c r="D139" s="32" t="inlineStr">
        <is>
          <t>متر مربع</t>
        </is>
      </c>
      <c r="E139" s="30" t="n">
        <v>21</v>
      </c>
      <c r="F139" s="33" t="n">
        <v>3</v>
      </c>
      <c r="G139" s="51">
        <f>E139/F139</f>
        <v/>
      </c>
    </row>
    <row r="140" ht="15.75" customHeight="1">
      <c r="A140" s="46" t="inlineStr">
        <is>
          <t>سیمان کاری سقف کاذب/ فضای متوسط</t>
        </is>
      </c>
      <c r="B140" s="23" t="inlineStr">
        <is>
          <t>سیمان کاری</t>
        </is>
      </c>
      <c r="C140" s="32" t="inlineStr">
        <is>
          <t>اکیپ سیمان کاری 3 نفره</t>
        </is>
      </c>
      <c r="D140" s="32" t="inlineStr">
        <is>
          <t>متر مربع</t>
        </is>
      </c>
      <c r="E140" s="28" t="n">
        <v>30</v>
      </c>
      <c r="F140" s="33" t="n">
        <v>3</v>
      </c>
      <c r="G140" s="51">
        <f>E140/F140</f>
        <v/>
      </c>
    </row>
    <row r="141" ht="15.75" customHeight="1">
      <c r="A141" s="46" t="inlineStr">
        <is>
          <t>سیمان کاری سقف کاذب/ فضای بزرگ</t>
        </is>
      </c>
      <c r="B141" s="23" t="inlineStr">
        <is>
          <t>سیمان کاری</t>
        </is>
      </c>
      <c r="C141" s="32" t="inlineStr">
        <is>
          <t>اکیپ سیمان کاری 3 نفره</t>
        </is>
      </c>
      <c r="D141" s="32" t="inlineStr">
        <is>
          <t>متر مربع</t>
        </is>
      </c>
      <c r="E141" s="30" t="n">
        <v>39</v>
      </c>
      <c r="F141" s="33" t="n">
        <v>3</v>
      </c>
      <c r="G141" s="51">
        <f>E141/F141</f>
        <v/>
      </c>
    </row>
    <row r="142" ht="15.75" customHeight="1">
      <c r="A142" s="46" t="inlineStr">
        <is>
          <t>گیتی کاری سقف کاذب/ فضای کوچک</t>
        </is>
      </c>
      <c r="B142" s="23" t="inlineStr">
        <is>
          <t>سیمان کاری</t>
        </is>
      </c>
      <c r="C142" s="32" t="inlineStr">
        <is>
          <t>اکیپ سیمان کاری 3 نفره</t>
        </is>
      </c>
      <c r="D142" s="32" t="inlineStr">
        <is>
          <t>متر مربع</t>
        </is>
      </c>
      <c r="E142" s="30" t="n">
        <v>10</v>
      </c>
      <c r="F142" s="33" t="n">
        <v>3</v>
      </c>
      <c r="G142" s="51">
        <f>E142/F142</f>
        <v/>
      </c>
    </row>
    <row r="143" ht="15.75" customHeight="1">
      <c r="A143" s="46" t="inlineStr">
        <is>
          <t>گیتی کاری سقف کاذب/ فضای متوسط</t>
        </is>
      </c>
      <c r="B143" s="23" t="inlineStr">
        <is>
          <t>سیمان کاری</t>
        </is>
      </c>
      <c r="C143" s="32" t="inlineStr">
        <is>
          <t>اکیپ سیمان کاری 3 نفره</t>
        </is>
      </c>
      <c r="D143" s="32" t="inlineStr">
        <is>
          <t>متر مربع</t>
        </is>
      </c>
      <c r="E143" s="28" t="n">
        <v>15</v>
      </c>
      <c r="F143" s="33" t="n">
        <v>3</v>
      </c>
      <c r="G143" s="51">
        <f>E143/F143</f>
        <v/>
      </c>
    </row>
    <row r="144" ht="15.75" customHeight="1">
      <c r="A144" s="46" t="inlineStr">
        <is>
          <t>گیتی کاری سقف کاذب/ فضای بزرگ</t>
        </is>
      </c>
      <c r="B144" s="23" t="inlineStr">
        <is>
          <t>سیمان کاری</t>
        </is>
      </c>
      <c r="C144" s="32" t="inlineStr">
        <is>
          <t>اکیپ سیمان کاری 3 نفره</t>
        </is>
      </c>
      <c r="D144" s="32" t="inlineStr">
        <is>
          <t>متر مربع</t>
        </is>
      </c>
      <c r="E144" s="30" t="n">
        <v>20</v>
      </c>
      <c r="F144" s="33" t="n">
        <v>3</v>
      </c>
      <c r="G144" s="51">
        <f>E144/F144</f>
        <v/>
      </c>
    </row>
    <row r="145">
      <c r="A145" s="42" t="inlineStr">
        <is>
          <t>تجهیزات بهداشتی و شیرآلات</t>
        </is>
      </c>
      <c r="B145" s="23" t="inlineStr">
        <is>
          <t>تجهیزات بهداشتی و شیرآلات</t>
        </is>
      </c>
      <c r="C145" s="24" t="n"/>
      <c r="D145" s="24" t="n"/>
      <c r="E145" s="25" t="n"/>
      <c r="F145" s="26" t="n"/>
      <c r="G145" s="51" t="n"/>
    </row>
    <row r="146" ht="15.75" customHeight="1">
      <c r="A146" s="48" t="inlineStr">
        <is>
          <t>نصب کفشوی</t>
        </is>
      </c>
      <c r="B146" s="23" t="inlineStr">
        <is>
          <t>تجهیزات بهداشتی و شیرآلات</t>
        </is>
      </c>
      <c r="C146" s="35" t="inlineStr">
        <is>
          <t>اکیپ نصب تجهیزات بهداشتی 1 نفره</t>
        </is>
      </c>
      <c r="D146" s="35" t="inlineStr">
        <is>
          <t>تعداد</t>
        </is>
      </c>
      <c r="E146" s="28" t="n">
        <v>6</v>
      </c>
      <c r="F146" s="29" t="n">
        <v>1</v>
      </c>
      <c r="G146" s="51">
        <f>E146/F146</f>
        <v/>
      </c>
    </row>
    <row r="147" ht="15.75" customHeight="1">
      <c r="A147" s="48" t="inlineStr">
        <is>
          <t>نصب سرویس ایرانی</t>
        </is>
      </c>
      <c r="B147" s="23" t="inlineStr">
        <is>
          <t>تجهیزات بهداشتی و شیرآلات</t>
        </is>
      </c>
      <c r="C147" s="35" t="inlineStr">
        <is>
          <t>اکیپ نصب تجهیزات بهداشتی 1 نفره</t>
        </is>
      </c>
      <c r="D147" s="35" t="inlineStr">
        <is>
          <t>تعداد</t>
        </is>
      </c>
      <c r="E147" s="28" t="n">
        <v>4</v>
      </c>
      <c r="F147" s="29" t="n">
        <v>1</v>
      </c>
      <c r="G147" s="51">
        <f>E147/F147</f>
        <v/>
      </c>
    </row>
    <row r="148" ht="15.75" customHeight="1">
      <c r="A148" s="48" t="inlineStr">
        <is>
          <t>نصب تجهیزات بهداشتی</t>
        </is>
      </c>
      <c r="B148" s="23" t="inlineStr">
        <is>
          <t>تجهیزات بهداشتی و شیرآلات</t>
        </is>
      </c>
      <c r="C148" s="35" t="inlineStr">
        <is>
          <t>اکیپ نصب تجهیزات بهداشتی 1 نفره</t>
        </is>
      </c>
      <c r="D148" s="35" t="inlineStr">
        <is>
          <t>تعداد</t>
        </is>
      </c>
      <c r="E148" s="28" t="n">
        <v>4</v>
      </c>
      <c r="F148" s="29" t="n">
        <v>1</v>
      </c>
      <c r="G148" s="51">
        <f>E148/F148</f>
        <v/>
      </c>
    </row>
    <row r="149" ht="15.75" customHeight="1">
      <c r="A149" s="48" t="inlineStr">
        <is>
          <t>نصب شیرآلات</t>
        </is>
      </c>
      <c r="B149" s="23" t="inlineStr">
        <is>
          <t>تجهیزات بهداشتی و شیرآلات</t>
        </is>
      </c>
      <c r="C149" s="35" t="inlineStr">
        <is>
          <t>اکیپ نصب تجهیزات بهداشتی 1 نفره</t>
        </is>
      </c>
      <c r="D149" s="35" t="inlineStr">
        <is>
          <t>تعداد</t>
        </is>
      </c>
      <c r="E149" s="28" t="n">
        <v>10</v>
      </c>
      <c r="F149" s="29" t="n">
        <v>1</v>
      </c>
      <c r="G149" s="51">
        <f>E149/F149</f>
        <v/>
      </c>
    </row>
    <row r="150">
      <c r="A150" s="42" t="inlineStr">
        <is>
          <t>کارهای فلزی سبک</t>
        </is>
      </c>
      <c r="B150" s="23" t="inlineStr">
        <is>
          <t>کارهای فلزی سبک</t>
        </is>
      </c>
      <c r="C150" s="24" t="n"/>
      <c r="D150" s="24" t="n"/>
      <c r="E150" s="25" t="n"/>
      <c r="F150" s="26" t="n"/>
      <c r="G150" s="51" t="n"/>
    </row>
    <row r="151" ht="15.75" customHeight="1">
      <c r="A151" s="48" t="inlineStr">
        <is>
          <t>نصب ساب فریم پنجره</t>
        </is>
      </c>
      <c r="B151" s="23" t="inlineStr">
        <is>
          <t>کارهای فلزی سبک</t>
        </is>
      </c>
      <c r="C151" s="35" t="inlineStr">
        <is>
          <t>اکیپ بنایی 2 نفره</t>
        </is>
      </c>
      <c r="D151" s="35" t="inlineStr">
        <is>
          <t>تعداد</t>
        </is>
      </c>
      <c r="E151" s="28" t="n">
        <v>6</v>
      </c>
      <c r="F151" s="29" t="n">
        <v>2</v>
      </c>
      <c r="G151" s="51">
        <f>E151/F151</f>
        <v/>
      </c>
    </row>
    <row r="152" ht="15.75" customHeight="1">
      <c r="A152" s="48" t="inlineStr">
        <is>
          <t>نصب ساب فریم درب</t>
        </is>
      </c>
      <c r="B152" s="23" t="inlineStr">
        <is>
          <t>کارهای فلزی سبک</t>
        </is>
      </c>
      <c r="C152" s="35" t="inlineStr">
        <is>
          <t>اکیپ بنایی 2 نفره</t>
        </is>
      </c>
      <c r="D152" s="35" t="inlineStr">
        <is>
          <t>تعداد</t>
        </is>
      </c>
      <c r="E152" s="28" t="n">
        <v>6</v>
      </c>
      <c r="F152" s="29" t="n">
        <v>2</v>
      </c>
      <c r="G152" s="51">
        <f>E152/F152</f>
        <v/>
      </c>
    </row>
    <row r="153" ht="15.75" customHeight="1">
      <c r="A153" s="48" t="inlineStr">
        <is>
          <t>نصب وال پست</t>
        </is>
      </c>
      <c r="B153" s="23" t="inlineStr">
        <is>
          <t>کارهای فلزی سبک</t>
        </is>
      </c>
      <c r="C153" s="35" t="inlineStr">
        <is>
          <t>اکیپ جوشکاری 2 نفره</t>
        </is>
      </c>
      <c r="D153" s="35" t="inlineStr">
        <is>
          <t>تعداد</t>
        </is>
      </c>
      <c r="E153" s="28" t="n">
        <v>6</v>
      </c>
      <c r="F153" s="29" t="n">
        <v>2</v>
      </c>
      <c r="G153" s="51">
        <f>E153/F153</f>
        <v/>
      </c>
    </row>
    <row r="154" ht="15.75" customHeight="1">
      <c r="A154" s="48" t="inlineStr">
        <is>
          <t>زیرسازی فلزی ویترین</t>
        </is>
      </c>
      <c r="B154" s="23" t="inlineStr">
        <is>
          <t>کارهای فلزی سبک</t>
        </is>
      </c>
      <c r="C154" s="35" t="inlineStr">
        <is>
          <t>اکیپ جوشکاری 2 نفره</t>
        </is>
      </c>
      <c r="D154" s="35" t="inlineStr">
        <is>
          <t>متر طول ویترین</t>
        </is>
      </c>
      <c r="E154" s="28" t="n">
        <v>3.5</v>
      </c>
      <c r="F154" s="29" t="n">
        <v>2</v>
      </c>
      <c r="G154" s="51">
        <f>E154/F154</f>
        <v/>
      </c>
    </row>
    <row r="155" ht="15.75" customHeight="1">
      <c r="A155" s="48" t="inlineStr">
        <is>
          <t>نصب چهارچوب درب فلزی</t>
        </is>
      </c>
      <c r="B155" s="23" t="inlineStr">
        <is>
          <t>کارهای فلزی سبک</t>
        </is>
      </c>
      <c r="C155" s="35" t="inlineStr">
        <is>
          <t>اکیپ بنایی 2 نفره</t>
        </is>
      </c>
      <c r="D155" s="35" t="inlineStr">
        <is>
          <t>تعداد عرض 1 متر یا معادل آن</t>
        </is>
      </c>
      <c r="E155" s="28" t="n">
        <v>3</v>
      </c>
      <c r="F155" s="29" t="n">
        <v>2</v>
      </c>
      <c r="G155" s="51">
        <f>E155/F155</f>
        <v/>
      </c>
    </row>
    <row r="156" ht="15.75" customHeight="1">
      <c r="A156" s="48" t="inlineStr">
        <is>
          <t>نصب و نقاشی درب فلزی و یراق آلات</t>
        </is>
      </c>
      <c r="B156" s="23" t="inlineStr">
        <is>
          <t>کارهای فلزی سبک</t>
        </is>
      </c>
      <c r="C156" s="35" t="inlineStr">
        <is>
          <t>اکیپ نقاشی 1 نفره</t>
        </is>
      </c>
      <c r="D156" s="35" t="inlineStr">
        <is>
          <t>تعداد عرض 1 متر یا معادل آن</t>
        </is>
      </c>
      <c r="E156" s="28" t="n">
        <v>2</v>
      </c>
      <c r="F156" s="29" t="n">
        <v>1</v>
      </c>
      <c r="G156" s="51">
        <f>E156/F156</f>
        <v/>
      </c>
    </row>
    <row r="157" ht="15.75" customHeight="1">
      <c r="A157" s="48" t="inlineStr">
        <is>
          <t>نصب و نقاشی نرده فلزی/ دیتیل ساده</t>
        </is>
      </c>
      <c r="B157" s="23" t="inlineStr">
        <is>
          <t>کارهای فلزی سبک</t>
        </is>
      </c>
      <c r="C157" s="35" t="inlineStr">
        <is>
          <t>اکیپ جوشکاری 2 نفره</t>
        </is>
      </c>
      <c r="D157" s="35" t="inlineStr">
        <is>
          <t>متر طول</t>
        </is>
      </c>
      <c r="E157" s="28" t="n">
        <v>4</v>
      </c>
      <c r="F157" s="29" t="n">
        <v>2</v>
      </c>
      <c r="G157" s="51">
        <f>E157/F157</f>
        <v/>
      </c>
    </row>
    <row r="158" ht="15.75" customHeight="1">
      <c r="A158" s="48" t="inlineStr">
        <is>
          <t>نصب و نقاشی نرده فلزی/ دیتیل متوسط</t>
        </is>
      </c>
      <c r="B158" s="23" t="inlineStr">
        <is>
          <t>کارهای فلزی سبک</t>
        </is>
      </c>
      <c r="C158" s="35" t="inlineStr">
        <is>
          <t>اکیپ جوشکاری 2 نفره</t>
        </is>
      </c>
      <c r="D158" s="35" t="inlineStr">
        <is>
          <t>متر طول</t>
        </is>
      </c>
      <c r="E158" s="28" t="n">
        <v>10</v>
      </c>
      <c r="F158" s="29" t="n">
        <v>2</v>
      </c>
      <c r="G158" s="51">
        <f>E158/F158</f>
        <v/>
      </c>
    </row>
    <row r="159" ht="15.75" customHeight="1">
      <c r="A159" s="48" t="inlineStr">
        <is>
          <t>نصب و نقاشی نرده فلزی/ دیتیل پیچیده</t>
        </is>
      </c>
      <c r="B159" s="23" t="inlineStr">
        <is>
          <t>کارهای فلزی سبک</t>
        </is>
      </c>
      <c r="C159" s="35" t="inlineStr">
        <is>
          <t>اکیپ جوشکاری 2 نفره</t>
        </is>
      </c>
      <c r="D159" s="35" t="inlineStr">
        <is>
          <t>متر طول</t>
        </is>
      </c>
      <c r="E159" s="28" t="n">
        <v>2</v>
      </c>
      <c r="F159" s="29" t="n">
        <v>2</v>
      </c>
      <c r="G159" s="51">
        <f>E159/F159</f>
        <v/>
      </c>
    </row>
    <row r="160" ht="15.75" customHeight="1">
      <c r="A160" s="48" t="inlineStr">
        <is>
          <t>اجرای گاتر</t>
        </is>
      </c>
      <c r="B160" s="23" t="inlineStr">
        <is>
          <t>کارهای فلزی سبک</t>
        </is>
      </c>
      <c r="C160" s="35" t="inlineStr">
        <is>
          <t>اکیپ جوشکاری 2 نفره</t>
        </is>
      </c>
      <c r="D160" s="35" t="inlineStr">
        <is>
          <t>متر طول</t>
        </is>
      </c>
      <c r="E160" s="28" t="n">
        <v>9</v>
      </c>
      <c r="F160" s="29" t="n">
        <v>2</v>
      </c>
      <c r="G160" s="51">
        <f>E160/F160</f>
        <v/>
      </c>
    </row>
    <row r="161" ht="15.75" customHeight="1">
      <c r="A161" s="48" t="inlineStr">
        <is>
          <t>نصب و نقاشی دریچه گاتر</t>
        </is>
      </c>
      <c r="B161" s="23" t="inlineStr">
        <is>
          <t>کارهای فلزی سبک</t>
        </is>
      </c>
      <c r="C161" s="35" t="inlineStr">
        <is>
          <t>اکیپ نقاشی 1 نفره</t>
        </is>
      </c>
      <c r="D161" s="35" t="inlineStr">
        <is>
          <t>متر طول</t>
        </is>
      </c>
      <c r="E161" s="28" t="n">
        <v>5</v>
      </c>
      <c r="F161" s="29" t="n">
        <v>1</v>
      </c>
      <c r="G161" s="51">
        <f>E161/F161</f>
        <v/>
      </c>
    </row>
    <row r="162" ht="15.75" customHeight="1">
      <c r="A162" s="48" t="inlineStr">
        <is>
          <t>اجرای پوشش فلزی نورگیر</t>
        </is>
      </c>
      <c r="B162" s="23" t="inlineStr">
        <is>
          <t>کارهای فلزی سبک</t>
        </is>
      </c>
      <c r="C162" s="35" t="inlineStr">
        <is>
          <t>اکیپ جوشکاری 2 نفره</t>
        </is>
      </c>
      <c r="D162" s="35" t="inlineStr">
        <is>
          <t>تعداد</t>
        </is>
      </c>
      <c r="E162" s="28" t="n">
        <v>1</v>
      </c>
      <c r="F162" s="29" t="n">
        <v>2</v>
      </c>
      <c r="G162" s="51" t="n">
        <v>1</v>
      </c>
    </row>
    <row r="163" ht="15.75" customHeight="1">
      <c r="A163" s="48" t="inlineStr">
        <is>
          <t>نقاشی و نصب شیشه و یراق آلات پوشش نورگیر</t>
        </is>
      </c>
      <c r="B163" s="23" t="inlineStr">
        <is>
          <t>کارهای فلزی سبک</t>
        </is>
      </c>
      <c r="C163" s="35" t="inlineStr">
        <is>
          <t>اکیپ نقاشی 1 نفره</t>
        </is>
      </c>
      <c r="D163" s="35" t="inlineStr">
        <is>
          <t>تعداد</t>
        </is>
      </c>
      <c r="E163" s="28" t="n">
        <v>1</v>
      </c>
      <c r="F163" s="29" t="n">
        <v>1</v>
      </c>
      <c r="G163" s="51">
        <f>E163/F163</f>
        <v/>
      </c>
    </row>
    <row r="164" ht="15.75" customHeight="1">
      <c r="A164" s="48" t="inlineStr">
        <is>
          <t>زیرسازی و صندوقچه سازی تجهیزات مکانیکال و الکتریکال</t>
        </is>
      </c>
      <c r="B164" s="23" t="inlineStr">
        <is>
          <t>کارهای فلزی سبک</t>
        </is>
      </c>
      <c r="C164" s="35" t="inlineStr">
        <is>
          <t>اکیپ بنایی 2 نفره</t>
        </is>
      </c>
      <c r="D164" s="35" t="inlineStr">
        <is>
          <t>متر مربع</t>
        </is>
      </c>
      <c r="E164" s="28" t="n">
        <v>1</v>
      </c>
      <c r="F164" s="29" t="n">
        <v>2</v>
      </c>
      <c r="G164" s="51">
        <f>E164/F164</f>
        <v/>
      </c>
    </row>
    <row r="165" ht="15.75" customHeight="1">
      <c r="A165" s="48" t="inlineStr">
        <is>
          <t>نصب مونوریل چاله آسانسور</t>
        </is>
      </c>
      <c r="B165" s="23" t="inlineStr">
        <is>
          <t>کارهای فلزی سبک</t>
        </is>
      </c>
      <c r="C165" s="35" t="inlineStr">
        <is>
          <t>اکیپ جوشکاری 2 نفره</t>
        </is>
      </c>
      <c r="D165" s="35" t="inlineStr">
        <is>
          <t>تعداد</t>
        </is>
      </c>
      <c r="E165" s="28" t="n">
        <v>1</v>
      </c>
      <c r="F165" s="29" t="n">
        <v>2</v>
      </c>
      <c r="G165" s="51">
        <f>E165/F165</f>
        <v/>
      </c>
    </row>
    <row r="166" ht="15.75" customHeight="1">
      <c r="A166" s="48" t="inlineStr">
        <is>
          <t>اجرای سازه فلزی پله نیم طبقه</t>
        </is>
      </c>
      <c r="B166" s="23" t="inlineStr">
        <is>
          <t>کارهای فلزی سبک</t>
        </is>
      </c>
      <c r="C166" s="35" t="inlineStr">
        <is>
          <t>اکیپ بنایی 2 نفره</t>
        </is>
      </c>
      <c r="D166" s="35" t="inlineStr">
        <is>
          <t>تعداد</t>
        </is>
      </c>
      <c r="E166" s="28" t="n">
        <v>1</v>
      </c>
      <c r="F166" s="29" t="n">
        <v>2</v>
      </c>
      <c r="G166" s="51" t="n">
        <v>1</v>
      </c>
    </row>
    <row r="167">
      <c r="A167" s="42" t="inlineStr">
        <is>
          <t>کابینت و تجهیزات آشپزخانه</t>
        </is>
      </c>
      <c r="B167" s="23" t="inlineStr">
        <is>
          <t>کابینت و تجهیزات آشپزخانه</t>
        </is>
      </c>
      <c r="C167" s="24" t="n"/>
      <c r="D167" s="24" t="n"/>
      <c r="E167" s="25" t="n"/>
      <c r="F167" s="26" t="n"/>
      <c r="G167" s="51" t="n"/>
    </row>
    <row r="168" ht="15.75" customHeight="1">
      <c r="A168" s="48" t="inlineStr">
        <is>
          <t>نصب کابینت و تجهیزات آشپزخانه/ دیتیل ساده</t>
        </is>
      </c>
      <c r="B168" s="23" t="inlineStr">
        <is>
          <t>کابینت و تجهیزات آشپزخانه</t>
        </is>
      </c>
      <c r="C168" s="35" t="inlineStr">
        <is>
          <t>اکیپ نصب کابینت 2 نفره</t>
        </is>
      </c>
      <c r="D168" s="35" t="inlineStr">
        <is>
          <t>متر طول</t>
        </is>
      </c>
      <c r="E168" s="28" t="n">
        <v>4</v>
      </c>
      <c r="F168" s="29" t="n">
        <v>2</v>
      </c>
      <c r="G168" s="51">
        <f>E168/F168</f>
        <v/>
      </c>
    </row>
    <row r="169" ht="15.75" customHeight="1">
      <c r="A169" s="48" t="inlineStr">
        <is>
          <t>نصب کابینت و تجهیزات آشپزخانه/ دیتیل متوسط</t>
        </is>
      </c>
      <c r="B169" s="23" t="inlineStr">
        <is>
          <t>کابینت و تجهیزات آشپزخانه</t>
        </is>
      </c>
      <c r="C169" s="35" t="inlineStr">
        <is>
          <t>اکیپ نصب کابینت 2 نفره</t>
        </is>
      </c>
      <c r="D169" s="35" t="inlineStr">
        <is>
          <t>متر طول</t>
        </is>
      </c>
      <c r="E169" s="28" t="n">
        <v>2</v>
      </c>
      <c r="F169" s="29" t="n">
        <v>2</v>
      </c>
      <c r="G169" s="51">
        <f>E169/F169</f>
        <v/>
      </c>
    </row>
    <row r="170" ht="15.75" customHeight="1">
      <c r="A170" s="48" t="inlineStr">
        <is>
          <t>نصب کابینت و تجهیزات آشپزخانه/ دیتیل پیچیده</t>
        </is>
      </c>
      <c r="B170" s="23" t="inlineStr">
        <is>
          <t>کابینت و تجهیزات آشپزخانه</t>
        </is>
      </c>
      <c r="C170" s="35" t="inlineStr">
        <is>
          <t>اکیپ نصب کابینت 2 نفره</t>
        </is>
      </c>
      <c r="D170" s="35" t="inlineStr">
        <is>
          <t>متر طول</t>
        </is>
      </c>
      <c r="E170" s="28" t="n">
        <v>1</v>
      </c>
      <c r="F170" s="29" t="n">
        <v>2</v>
      </c>
      <c r="G170" s="51">
        <f>E170/F170</f>
        <v/>
      </c>
    </row>
    <row r="171">
      <c r="A171" s="42" t="inlineStr">
        <is>
          <t>حفر  چاه</t>
        </is>
      </c>
      <c r="B171" s="23" t="inlineStr">
        <is>
          <t>حفر  چاه</t>
        </is>
      </c>
      <c r="C171" s="24" t="n"/>
      <c r="D171" s="24" t="n"/>
      <c r="E171" s="25" t="n"/>
      <c r="F171" s="26" t="n"/>
      <c r="G171" s="51" t="n"/>
    </row>
    <row r="172" ht="15.75" customHeight="1">
      <c r="A172" s="48" t="inlineStr">
        <is>
          <t>حفر چاه</t>
        </is>
      </c>
      <c r="B172" s="23" t="inlineStr">
        <is>
          <t>حفر  چاه</t>
        </is>
      </c>
      <c r="C172" s="35" t="inlineStr">
        <is>
          <t>اکیپ حفر چاه 2 نفره</t>
        </is>
      </c>
      <c r="D172" s="35" t="inlineStr">
        <is>
          <t>مترمکعب حجم انباره</t>
        </is>
      </c>
      <c r="E172" s="28" t="n">
        <v>15</v>
      </c>
      <c r="F172" s="29" t="n">
        <v>2</v>
      </c>
      <c r="G172" s="51">
        <f>E172/F172</f>
        <v/>
      </c>
    </row>
    <row r="173">
      <c r="A173" s="42" t="inlineStr">
        <is>
          <t>تاسیسات مکانیکال</t>
        </is>
      </c>
      <c r="B173" s="23" t="inlineStr">
        <is>
          <t>تاسیسات مکانیکال</t>
        </is>
      </c>
      <c r="C173" s="24" t="n"/>
      <c r="D173" s="24" t="n"/>
      <c r="E173" s="25" t="n"/>
      <c r="F173" s="26" t="n"/>
      <c r="G173" s="51" t="n"/>
    </row>
    <row r="174" ht="15.75" customHeight="1">
      <c r="A174" s="48" t="inlineStr">
        <is>
          <t>لوله کشی فاضلاب/ پوش فیت</t>
        </is>
      </c>
      <c r="B174" s="23" t="inlineStr">
        <is>
          <t>تاسیسات مکانیکال</t>
        </is>
      </c>
      <c r="C174" s="35" t="inlineStr">
        <is>
          <t>اکیپ پوش فیت کار 2 نفره</t>
        </is>
      </c>
      <c r="D174" s="35" t="inlineStr">
        <is>
          <t>تعداد انشعاب</t>
        </is>
      </c>
      <c r="E174" s="28" t="n">
        <v>3</v>
      </c>
      <c r="F174" s="29" t="n">
        <v>2</v>
      </c>
      <c r="G174" s="51">
        <f>E174/F174</f>
        <v/>
      </c>
    </row>
    <row r="175" ht="15.75" customHeight="1">
      <c r="A175" s="48" t="inlineStr">
        <is>
          <t>لوله کشی آب سرد و گرم/ پنج لایه</t>
        </is>
      </c>
      <c r="B175" s="23" t="inlineStr">
        <is>
          <t>تاسیسات مکانیکال</t>
        </is>
      </c>
      <c r="C175" s="35" t="inlineStr">
        <is>
          <t>اکیپ پنج لایه کار 2 نفره</t>
        </is>
      </c>
      <c r="D175" s="35" t="inlineStr">
        <is>
          <t>تعداد انشعاب</t>
        </is>
      </c>
      <c r="E175" s="28" t="n">
        <v>5</v>
      </c>
      <c r="F175" s="29" t="n">
        <v>2</v>
      </c>
      <c r="G175" s="51">
        <f>E175/F175</f>
        <v/>
      </c>
    </row>
    <row r="176" ht="15.75" customHeight="1">
      <c r="A176" s="48" t="inlineStr">
        <is>
          <t>لوله کشی آب سرد/ پنج لایه</t>
        </is>
      </c>
      <c r="B176" s="23" t="inlineStr">
        <is>
          <t>تاسیسات مکانیکال</t>
        </is>
      </c>
      <c r="C176" s="35" t="inlineStr">
        <is>
          <t>اکیپ پنج لایه کار 2 نفره</t>
        </is>
      </c>
      <c r="D176" s="35" t="inlineStr">
        <is>
          <t>تعداد انشعاب</t>
        </is>
      </c>
      <c r="E176" s="28" t="n">
        <v>7</v>
      </c>
      <c r="F176" s="29" t="n">
        <v>2</v>
      </c>
      <c r="G176" s="51">
        <f>E176/F176</f>
        <v/>
      </c>
    </row>
    <row r="177" ht="15.75" customHeight="1">
      <c r="A177" s="48" t="inlineStr">
        <is>
          <t>اجرای لوله اگزاست/ پلیکا</t>
        </is>
      </c>
      <c r="B177" s="23" t="inlineStr">
        <is>
          <t>تاسیسات مکانیکال</t>
        </is>
      </c>
      <c r="C177" s="35" t="inlineStr">
        <is>
          <t>اکیپ پلیکا کار 2 نفره</t>
        </is>
      </c>
      <c r="D177" s="35" t="inlineStr">
        <is>
          <t>تعداد انشعاب</t>
        </is>
      </c>
      <c r="E177" s="28" t="n">
        <v>2</v>
      </c>
      <c r="F177" s="29" t="n">
        <v>2</v>
      </c>
      <c r="G177" s="51">
        <f>E177/F177</f>
        <v/>
      </c>
    </row>
    <row r="178" ht="15.75" customHeight="1">
      <c r="A178" s="48" t="inlineStr">
        <is>
          <t>لوله کشی گاز/ گالوانیزه</t>
        </is>
      </c>
      <c r="B178" s="23" t="inlineStr">
        <is>
          <t>تاسیسات مکانیکال</t>
        </is>
      </c>
      <c r="C178" s="35" t="inlineStr">
        <is>
          <t>اکیپ گالونیزه کار 2 نفره</t>
        </is>
      </c>
      <c r="D178" s="35" t="inlineStr">
        <is>
          <t>تعداد انشعاب</t>
        </is>
      </c>
      <c r="E178" s="28" t="n">
        <v>1</v>
      </c>
      <c r="F178" s="29" t="n">
        <v>2</v>
      </c>
      <c r="G178" s="51">
        <f>E178/F178</f>
        <v/>
      </c>
    </row>
    <row r="179" ht="15.75" customHeight="1">
      <c r="A179" s="48" t="inlineStr">
        <is>
          <t>لوله کشی اطفا حریق/ مانیسمان</t>
        </is>
      </c>
      <c r="B179" s="23" t="inlineStr">
        <is>
          <t>تاسیسات مکانیکال</t>
        </is>
      </c>
      <c r="C179" s="35" t="inlineStr">
        <is>
          <t>اکیپ مانیسمان کار 2 نفره</t>
        </is>
      </c>
      <c r="D179" s="35" t="inlineStr">
        <is>
          <t>تعداد انشعاب</t>
        </is>
      </c>
      <c r="E179" s="28" t="n">
        <v>2</v>
      </c>
      <c r="F179" s="29" t="n">
        <v>2</v>
      </c>
      <c r="G179" s="51">
        <f>E179/F179</f>
        <v/>
      </c>
    </row>
    <row r="180" ht="15.75" customHeight="1">
      <c r="A180" s="48" t="inlineStr">
        <is>
          <t>نصب شاسی، ساپورت و لوله کشی فن کویل/ سقفی/ بغل زن</t>
        </is>
      </c>
      <c r="B180" s="23" t="inlineStr">
        <is>
          <t>تاسیسات مکانیکال</t>
        </is>
      </c>
      <c r="C180" s="35" t="inlineStr">
        <is>
          <t>اکیپ لوله کشی و نصب فن کویل 2 نفره</t>
        </is>
      </c>
      <c r="D180" s="35" t="inlineStr">
        <is>
          <t>تعداد انشعاب</t>
        </is>
      </c>
      <c r="E180" s="28" t="n">
        <v>1</v>
      </c>
      <c r="F180" s="29" t="n">
        <v>2</v>
      </c>
      <c r="G180" s="51">
        <f>E180/F180</f>
        <v/>
      </c>
    </row>
    <row r="181" ht="15.75" customHeight="1">
      <c r="A181" s="48" t="inlineStr">
        <is>
          <t>نصب فن کویل/ سقفی/ بغل زن</t>
        </is>
      </c>
      <c r="B181" s="23" t="inlineStr">
        <is>
          <t>تاسیسات مکانیکال</t>
        </is>
      </c>
      <c r="C181" s="35" t="inlineStr">
        <is>
          <t>اکیپ لوله کشی و نصب فن کویل 2 نفره</t>
        </is>
      </c>
      <c r="D181" s="35" t="inlineStr">
        <is>
          <t>تعداد فن کویل</t>
        </is>
      </c>
      <c r="E181" s="28" t="n">
        <v>2</v>
      </c>
      <c r="F181" s="29" t="n">
        <v>2</v>
      </c>
      <c r="G181" s="51">
        <f>E181/F181</f>
        <v/>
      </c>
    </row>
    <row r="182" customFormat="1" s="3">
      <c r="A182" s="45" t="inlineStr">
        <is>
          <t>نصب داکت فن کویل</t>
        </is>
      </c>
      <c r="B182" s="23" t="inlineStr">
        <is>
          <t>تاسیسات مکانیکال</t>
        </is>
      </c>
      <c r="C182" s="31" t="inlineStr">
        <is>
          <t>اکیپ لوله کشی و نصب فن کویل 2 نفره</t>
        </is>
      </c>
      <c r="D182" s="35" t="inlineStr">
        <is>
          <t>تعداد داکت فن کویل</t>
        </is>
      </c>
      <c r="E182" s="28" t="n">
        <v>1</v>
      </c>
      <c r="F182" s="29" t="n">
        <v>2</v>
      </c>
      <c r="G182" s="51">
        <f>E182/F182</f>
        <v/>
      </c>
    </row>
    <row r="183" ht="15.75" customHeight="1">
      <c r="A183" s="48" t="inlineStr">
        <is>
          <t>نصب کانال اس فن کویل/ سقفی/ بغل زن</t>
        </is>
      </c>
      <c r="B183" s="23" t="inlineStr">
        <is>
          <t>تاسیسات مکانیکال</t>
        </is>
      </c>
      <c r="C183" s="35" t="inlineStr">
        <is>
          <t>اکیپ کانال ساز 2 نفره</t>
        </is>
      </c>
      <c r="D183" s="35" t="inlineStr">
        <is>
          <t>تعداد فن کویل</t>
        </is>
      </c>
      <c r="E183" s="28" t="n">
        <v>4</v>
      </c>
      <c r="F183" s="29" t="n">
        <v>2</v>
      </c>
      <c r="G183" s="51">
        <f>E183/F183</f>
        <v/>
      </c>
    </row>
    <row r="184" ht="15.75" customHeight="1">
      <c r="A184" s="44" t="inlineStr">
        <is>
          <t>اجرای کانال/ سایز کوچک</t>
        </is>
      </c>
      <c r="B184" s="23" t="inlineStr">
        <is>
          <t>تاسیسات مکانیکال</t>
        </is>
      </c>
      <c r="C184" s="35" t="inlineStr">
        <is>
          <t>اکیپ کانال ساز 2 نفره</t>
        </is>
      </c>
      <c r="D184" s="35" t="inlineStr">
        <is>
          <t>تعداد خروجی</t>
        </is>
      </c>
      <c r="E184" s="28" t="n">
        <v>2</v>
      </c>
      <c r="F184" s="29" t="n">
        <v>2</v>
      </c>
      <c r="G184" s="51">
        <f>E184/F184</f>
        <v/>
      </c>
    </row>
    <row r="185" ht="15.75" customHeight="1">
      <c r="A185" s="48" t="inlineStr">
        <is>
          <t>اجرای کانال/ سایز متوسط</t>
        </is>
      </c>
      <c r="B185" s="23" t="inlineStr">
        <is>
          <t>تاسیسات مکانیکال</t>
        </is>
      </c>
      <c r="C185" s="35" t="inlineStr">
        <is>
          <t>اکیپ کانال ساز 2 نفره</t>
        </is>
      </c>
      <c r="D185" s="35" t="inlineStr">
        <is>
          <t>تعداد خروجی</t>
        </is>
      </c>
      <c r="E185" s="28" t="n">
        <v>1</v>
      </c>
      <c r="F185" s="29" t="n">
        <v>2</v>
      </c>
      <c r="G185" s="51">
        <f>E185/F185</f>
        <v/>
      </c>
    </row>
    <row r="186" ht="15.75" customHeight="1">
      <c r="A186" s="48" t="inlineStr">
        <is>
          <t>اجرای کانال/ سایز بزرگ</t>
        </is>
      </c>
      <c r="B186" s="23" t="inlineStr">
        <is>
          <t>تاسیسات مکانیکال</t>
        </is>
      </c>
      <c r="C186" s="35" t="inlineStr">
        <is>
          <t>اکیپ کانال ساز 2 نفره</t>
        </is>
      </c>
      <c r="D186" s="35" t="inlineStr">
        <is>
          <t>تعداد خروجی</t>
        </is>
      </c>
      <c r="E186" s="28" t="n">
        <v>0.5</v>
      </c>
      <c r="F186" s="29" t="n">
        <v>2</v>
      </c>
      <c r="G186" s="51">
        <f>E186/F186</f>
        <v/>
      </c>
    </row>
    <row r="187">
      <c r="A187" s="42" t="inlineStr">
        <is>
          <t>تجهیزات اطفا حریق</t>
        </is>
      </c>
      <c r="B187" s="23" t="inlineStr">
        <is>
          <t>تجهیزات اطفا حریق</t>
        </is>
      </c>
      <c r="C187" s="24" t="n"/>
      <c r="D187" s="24" t="n"/>
      <c r="E187" s="25" t="n"/>
      <c r="F187" s="26" t="n"/>
      <c r="G187" s="51" t="n"/>
    </row>
    <row r="188" ht="15.75" customHeight="1">
      <c r="A188" s="48" t="inlineStr">
        <is>
          <t>نصب باکس اطفا حریق</t>
        </is>
      </c>
      <c r="B188" s="23" t="inlineStr">
        <is>
          <t>تجهیزات اطفا حریق</t>
        </is>
      </c>
      <c r="C188" s="66" t="inlineStr">
        <is>
          <t>اکیپ نصب تجهیزات اطفا حریق 1 نفره</t>
        </is>
      </c>
      <c r="D188" s="35" t="inlineStr">
        <is>
          <t>تعداد</t>
        </is>
      </c>
      <c r="E188" s="28" t="n">
        <v>2</v>
      </c>
      <c r="F188" s="29" t="n">
        <v>1</v>
      </c>
      <c r="G188" s="51">
        <f>E188/F188</f>
        <v/>
      </c>
    </row>
    <row r="189" ht="15.75" customHeight="1">
      <c r="A189" s="48" t="inlineStr">
        <is>
          <t>نصب شیلنگ اطفا حریق</t>
        </is>
      </c>
      <c r="B189" s="23" t="inlineStr">
        <is>
          <t>تجهیزات اطفا حریق</t>
        </is>
      </c>
      <c r="C189" s="66" t="inlineStr">
        <is>
          <t>اکیپ نصب تجهیزات اطفا حریق 1 نفره</t>
        </is>
      </c>
      <c r="D189" s="35" t="inlineStr">
        <is>
          <t>تعداد</t>
        </is>
      </c>
      <c r="E189" s="28" t="n">
        <v>3</v>
      </c>
      <c r="F189" s="29" t="n">
        <v>1</v>
      </c>
      <c r="G189" s="51">
        <f>E189/F189</f>
        <v/>
      </c>
    </row>
    <row r="190" ht="15.75" customHeight="1">
      <c r="A190" s="48" t="inlineStr">
        <is>
          <t>نصب اسپرینکلر</t>
        </is>
      </c>
      <c r="B190" s="23" t="inlineStr">
        <is>
          <t>تجهیزات اطفا حریق</t>
        </is>
      </c>
      <c r="C190" s="66" t="inlineStr">
        <is>
          <t>اکیپ نصب تجهیزات اطفا حریق 1 نفره</t>
        </is>
      </c>
      <c r="D190" s="35" t="inlineStr">
        <is>
          <t>تعداد</t>
        </is>
      </c>
      <c r="E190" s="28" t="n">
        <v>8</v>
      </c>
      <c r="F190" s="29" t="n">
        <v>1</v>
      </c>
      <c r="G190" s="51">
        <f>E190/F190</f>
        <v/>
      </c>
    </row>
    <row r="191">
      <c r="A191" s="42" t="inlineStr">
        <is>
          <t>دریچه</t>
        </is>
      </c>
      <c r="B191" s="23" t="inlineStr">
        <is>
          <t>دریچه</t>
        </is>
      </c>
      <c r="C191" s="24" t="n"/>
      <c r="D191" s="24" t="n"/>
      <c r="E191" s="25" t="n"/>
      <c r="F191" s="26" t="n"/>
      <c r="G191" s="51" t="n"/>
    </row>
    <row r="192" ht="15.75" customHeight="1">
      <c r="A192" s="44" t="inlineStr">
        <is>
          <t>نصب دریچه دهش/ سایز کوچک</t>
        </is>
      </c>
      <c r="B192" s="23" t="inlineStr">
        <is>
          <t>دریچه</t>
        </is>
      </c>
      <c r="C192" s="35" t="inlineStr">
        <is>
          <t>اکیپ نصب دریچه 1 نفره</t>
        </is>
      </c>
      <c r="D192" s="35" t="inlineStr">
        <is>
          <t>تعداد</t>
        </is>
      </c>
      <c r="E192" s="28" t="n">
        <v>12</v>
      </c>
      <c r="F192" s="29" t="n">
        <v>1</v>
      </c>
      <c r="G192" s="51">
        <f>E192/F192</f>
        <v/>
      </c>
    </row>
    <row r="193" ht="15.75" customHeight="1">
      <c r="A193" s="48" t="inlineStr">
        <is>
          <t>نصب دریچه دهش/ سایز متوسط</t>
        </is>
      </c>
      <c r="B193" s="23" t="inlineStr">
        <is>
          <t>دریچه</t>
        </is>
      </c>
      <c r="C193" s="35" t="inlineStr">
        <is>
          <t>اکیپ نصب دریچه 1 نفره</t>
        </is>
      </c>
      <c r="D193" s="35" t="inlineStr">
        <is>
          <t>تعداد</t>
        </is>
      </c>
      <c r="E193" s="28" t="n">
        <v>8</v>
      </c>
      <c r="F193" s="29" t="n">
        <v>1</v>
      </c>
      <c r="G193" s="51">
        <f>E193/F193</f>
        <v/>
      </c>
    </row>
    <row r="194" ht="15.75" customHeight="1">
      <c r="A194" s="48" t="inlineStr">
        <is>
          <t>نصب دریچه دهش/ سایز بزرگ</t>
        </is>
      </c>
      <c r="B194" s="23" t="inlineStr">
        <is>
          <t>دریچه</t>
        </is>
      </c>
      <c r="C194" s="35" t="inlineStr">
        <is>
          <t>اکیپ نصب دریچه 1 نفره</t>
        </is>
      </c>
      <c r="D194" s="35" t="inlineStr">
        <is>
          <t>تعداد</t>
        </is>
      </c>
      <c r="E194" s="28" t="n">
        <v>4</v>
      </c>
      <c r="F194" s="29" t="n">
        <v>1</v>
      </c>
      <c r="G194" s="51">
        <f>E194/F194</f>
        <v/>
      </c>
    </row>
    <row r="195" ht="15.75" customHeight="1">
      <c r="A195" s="48" t="inlineStr">
        <is>
          <t>نصب دریچه بازدید فن کویل</t>
        </is>
      </c>
      <c r="B195" s="23" t="inlineStr">
        <is>
          <t>دریچه</t>
        </is>
      </c>
      <c r="C195" s="35" t="inlineStr">
        <is>
          <t>اکیپ نصب دریچه 1 نفره</t>
        </is>
      </c>
      <c r="D195" s="35" t="inlineStr">
        <is>
          <t>تعداد</t>
        </is>
      </c>
      <c r="E195" s="28" t="n">
        <v>8</v>
      </c>
      <c r="F195" s="29" t="n">
        <v>1</v>
      </c>
      <c r="G195" s="51">
        <f>E195/F195</f>
        <v/>
      </c>
    </row>
    <row r="196" ht="15.75" customHeight="1">
      <c r="A196" s="48" t="inlineStr">
        <is>
          <t>نصب دریچه بازدید</t>
        </is>
      </c>
      <c r="B196" s="23" t="inlineStr">
        <is>
          <t>دریچه</t>
        </is>
      </c>
      <c r="C196" s="35" t="inlineStr">
        <is>
          <t>اکیپ نصب دریچه 1 نفره</t>
        </is>
      </c>
      <c r="D196" s="35" t="inlineStr">
        <is>
          <t>تعداد</t>
        </is>
      </c>
      <c r="E196" s="28" t="n">
        <v>6</v>
      </c>
      <c r="F196" s="29" t="n">
        <v>1</v>
      </c>
      <c r="G196" s="51">
        <f>E196/F196</f>
        <v/>
      </c>
    </row>
    <row r="197">
      <c r="A197" s="42" t="inlineStr">
        <is>
          <t>درب  و پنجره</t>
        </is>
      </c>
      <c r="B197" s="23" t="inlineStr">
        <is>
          <t>درب  و پنجره</t>
        </is>
      </c>
      <c r="C197" s="24" t="n"/>
      <c r="D197" s="24" t="n"/>
      <c r="E197" s="25" t="n"/>
      <c r="F197" s="26" t="n"/>
      <c r="G197" s="51" t="n"/>
    </row>
    <row r="198" ht="15.75" customHeight="1">
      <c r="A198" s="48" t="inlineStr">
        <is>
          <t>نصب درب ضد حریق</t>
        </is>
      </c>
      <c r="B198" s="23" t="inlineStr">
        <is>
          <t>درب  و پنجره</t>
        </is>
      </c>
      <c r="C198" s="35" t="inlineStr">
        <is>
          <t>اکیپ نصب درب ضد حریق 2 نفره</t>
        </is>
      </c>
      <c r="D198" s="35" t="inlineStr">
        <is>
          <t>تعداد درب 1 متر یا معادل آن</t>
        </is>
      </c>
      <c r="E198" s="28" t="n">
        <v>2</v>
      </c>
      <c r="F198" s="29" t="n">
        <v>2</v>
      </c>
      <c r="G198" s="51">
        <f>E198/F198</f>
        <v/>
      </c>
    </row>
    <row r="199" ht="15.75" customHeight="1">
      <c r="A199" s="48" t="inlineStr">
        <is>
          <t>نصب درب اتوماتیک پارکینگ</t>
        </is>
      </c>
      <c r="B199" s="23" t="inlineStr">
        <is>
          <t>درب  و پنجره</t>
        </is>
      </c>
      <c r="C199" s="35" t="inlineStr">
        <is>
          <t>اکیپ نصب درب اتوماتیک پارکینگ 2 نفره</t>
        </is>
      </c>
      <c r="D199" s="35" t="inlineStr">
        <is>
          <t>تعداد درب 3 متر یا معادل آن</t>
        </is>
      </c>
      <c r="E199" s="28" t="n">
        <v>1</v>
      </c>
      <c r="F199" s="29" t="n">
        <v>2</v>
      </c>
      <c r="G199" s="51" t="n">
        <v>1</v>
      </c>
    </row>
    <row r="200" ht="15.75" customHeight="1">
      <c r="A200" s="48" t="inlineStr">
        <is>
          <t>نصب درب اتوماتیک شیشه ای</t>
        </is>
      </c>
      <c r="B200" s="23" t="inlineStr">
        <is>
          <t>درب  و پنجره</t>
        </is>
      </c>
      <c r="C200" s="35" t="inlineStr">
        <is>
          <t>اکیپ نصب درب اتوماتیک شیشه ای 2 نفره</t>
        </is>
      </c>
      <c r="D200" s="35" t="inlineStr">
        <is>
          <t>تعداد درب 1 متری یا معادل آن</t>
        </is>
      </c>
      <c r="E200" s="28" t="n">
        <v>1</v>
      </c>
      <c r="F200" s="29" t="n">
        <v>2</v>
      </c>
      <c r="G200" s="51">
        <f>E200/F200</f>
        <v/>
      </c>
    </row>
    <row r="201" ht="15.75" customHeight="1">
      <c r="A201" s="48" t="inlineStr">
        <is>
          <t>نصب چهارچوب و فیت کردن درب/ چهارچوب چوبی</t>
        </is>
      </c>
      <c r="B201" s="23" t="inlineStr">
        <is>
          <t>درب  و پنجره</t>
        </is>
      </c>
      <c r="C201" s="35" t="inlineStr">
        <is>
          <t>اکیپ نصب درب چوبی 2 نفره</t>
        </is>
      </c>
      <c r="D201" s="35" t="inlineStr">
        <is>
          <t>تعداد درب 1 متری یا معادل آن</t>
        </is>
      </c>
      <c r="E201" s="28" t="n">
        <v>2</v>
      </c>
      <c r="F201" s="29" t="n">
        <v>2</v>
      </c>
      <c r="G201" s="51">
        <f>E201/F201</f>
        <v/>
      </c>
    </row>
    <row r="202" ht="15.75" customHeight="1">
      <c r="A202" s="48" t="inlineStr">
        <is>
          <t>نقاشی و نصب درب و یراق آلات/ چهارچوب چوبی/ دیتیل متوسط</t>
        </is>
      </c>
      <c r="B202" s="23" t="inlineStr">
        <is>
          <t>درب  و پنجره</t>
        </is>
      </c>
      <c r="C202" s="35" t="inlineStr">
        <is>
          <t>اکیپ نقاشی و نصب یراق آلات 2 نفره</t>
        </is>
      </c>
      <c r="D202" s="35" t="inlineStr">
        <is>
          <t>تعداد درب 1 متری یا معادل آن</t>
        </is>
      </c>
      <c r="E202" s="28" t="n">
        <v>1</v>
      </c>
      <c r="F202" s="29" t="n">
        <v>2</v>
      </c>
      <c r="G202" s="51">
        <f>E202/F202</f>
        <v/>
      </c>
    </row>
    <row r="203" ht="15.75" customHeight="1">
      <c r="A203" s="48" t="inlineStr">
        <is>
          <t>نصب درب یو پی وی سی</t>
        </is>
      </c>
      <c r="B203" s="23" t="inlineStr">
        <is>
          <t>درب  و پنجره</t>
        </is>
      </c>
      <c r="C203" s="35" t="inlineStr">
        <is>
          <t>اکیپ نصب درب یو پی وی سی 2 نفره</t>
        </is>
      </c>
      <c r="D203" s="35" t="inlineStr">
        <is>
          <t>تعداد درب 1 متری یا معادل آن</t>
        </is>
      </c>
      <c r="E203" s="28" t="n">
        <v>3</v>
      </c>
      <c r="F203" s="29" t="n">
        <v>2</v>
      </c>
      <c r="G203" s="51">
        <f>E203/F203</f>
        <v/>
      </c>
    </row>
    <row r="204" ht="15.75" customHeight="1">
      <c r="A204" s="48" t="inlineStr">
        <is>
          <t>نصب پنجره یو پی وی سی</t>
        </is>
      </c>
      <c r="B204" s="23" t="inlineStr">
        <is>
          <t>درب  و پنجره</t>
        </is>
      </c>
      <c r="C204" s="35" t="inlineStr">
        <is>
          <t>اکیپ نصب پنجره یو پی وی سی 2 نفره</t>
        </is>
      </c>
      <c r="D204" s="35" t="inlineStr">
        <is>
          <t>تعداد</t>
        </is>
      </c>
      <c r="E204" s="28" t="n">
        <v>3</v>
      </c>
      <c r="F204" s="29" t="n">
        <v>2</v>
      </c>
      <c r="G204" s="51">
        <f>E204/F204</f>
        <v/>
      </c>
    </row>
    <row r="205">
      <c r="A205" s="42" t="inlineStr">
        <is>
          <t>سنگ، موزائیک، کاشی و سرامیک</t>
        </is>
      </c>
      <c r="B205" s="23" t="inlineStr">
        <is>
          <t>سنگ، موزائیک، کاشی و سرامیک</t>
        </is>
      </c>
      <c r="C205" s="24" t="n"/>
      <c r="D205" s="24" t="n"/>
      <c r="E205" s="25" t="n"/>
      <c r="F205" s="26" t="n"/>
      <c r="G205" s="51" t="n"/>
    </row>
    <row r="206" ht="15.75" customHeight="1">
      <c r="A206" s="48" t="inlineStr">
        <is>
          <t>اجرای سنگ، سرامیک و موزائیک کف/ دیتیل ساده/ فضای کوچک</t>
        </is>
      </c>
      <c r="B206" s="23" t="inlineStr">
        <is>
          <t>سنگ، موزائیک، کاشی و سرامیک</t>
        </is>
      </c>
      <c r="C206" s="35" t="inlineStr">
        <is>
          <t>اکیپ سنگ کاری 2 نفره</t>
        </is>
      </c>
      <c r="D206" s="35" t="inlineStr">
        <is>
          <t>متر مربع</t>
        </is>
      </c>
      <c r="E206" s="30" t="n">
        <v>9</v>
      </c>
      <c r="F206" s="29" t="n">
        <v>2</v>
      </c>
      <c r="G206" s="51">
        <f>E206/F206</f>
        <v/>
      </c>
    </row>
    <row r="207" ht="15.75" customHeight="1">
      <c r="A207" s="48" t="inlineStr">
        <is>
          <t>اجرای سنگ، سرامیک و موزائیک کف/ دیتیل ساده/ فضای متوسط</t>
        </is>
      </c>
      <c r="B207" s="23" t="inlineStr">
        <is>
          <t>سنگ، موزائیک، کاشی و سرامیک</t>
        </is>
      </c>
      <c r="C207" s="35" t="inlineStr">
        <is>
          <t>اکیپ سنگ کاری 2 نفره</t>
        </is>
      </c>
      <c r="D207" s="35" t="inlineStr">
        <is>
          <t>متر مربع</t>
        </is>
      </c>
      <c r="E207" s="28" t="n">
        <v>14</v>
      </c>
      <c r="F207" s="29" t="n">
        <v>2</v>
      </c>
      <c r="G207" s="51">
        <f>E207/F207</f>
        <v/>
      </c>
    </row>
    <row r="208" ht="15.75" customHeight="1">
      <c r="A208" s="48" t="inlineStr">
        <is>
          <t>اجرای سنگ، سرامیک و موزائیک کف/ دیتیل ساده/ فضای بزرگ</t>
        </is>
      </c>
      <c r="B208" s="23" t="inlineStr">
        <is>
          <t>سنگ، موزائیک، کاشی و سرامیک</t>
        </is>
      </c>
      <c r="C208" s="35" t="inlineStr">
        <is>
          <t>اکیپ سنگ کاری 2 نفره</t>
        </is>
      </c>
      <c r="D208" s="35" t="inlineStr">
        <is>
          <t>متر مربع</t>
        </is>
      </c>
      <c r="E208" s="30" t="n">
        <v>19</v>
      </c>
      <c r="F208" s="29" t="n">
        <v>2</v>
      </c>
      <c r="G208" s="51">
        <f>E208/F208</f>
        <v/>
      </c>
    </row>
    <row r="209" ht="15.75" customHeight="1">
      <c r="A209" s="48" t="inlineStr">
        <is>
          <t>اجرای سنگ، سرامیک و موزائیک کف/ دیتیل متوسط/ فضای کوچک</t>
        </is>
      </c>
      <c r="B209" s="23" t="inlineStr">
        <is>
          <t>سنگ، موزائیک، کاشی و سرامیک</t>
        </is>
      </c>
      <c r="C209" s="35" t="inlineStr">
        <is>
          <t>اکیپ سنگ کاری 2 نفره</t>
        </is>
      </c>
      <c r="D209" s="35" t="inlineStr">
        <is>
          <t>متر مربع</t>
        </is>
      </c>
      <c r="E209" s="30" t="n">
        <v>8</v>
      </c>
      <c r="F209" s="29" t="n">
        <v>2</v>
      </c>
      <c r="G209" s="51">
        <f>E209/F209</f>
        <v/>
      </c>
    </row>
    <row r="210" ht="15.75" customHeight="1">
      <c r="A210" s="48" t="inlineStr">
        <is>
          <t>اجرای سنگ، سرامیک و موزائیک کف/ دیتیل متوسط/ فضای متوسط</t>
        </is>
      </c>
      <c r="B210" s="23" t="inlineStr">
        <is>
          <t>سنگ، موزائیک، کاشی و سرامیک</t>
        </is>
      </c>
      <c r="C210" s="35" t="inlineStr">
        <is>
          <t>اکیپ سنگ کاری 2 نفره</t>
        </is>
      </c>
      <c r="D210" s="35" t="inlineStr">
        <is>
          <t>متر مربع</t>
        </is>
      </c>
      <c r="E210" s="28" t="n">
        <v>12</v>
      </c>
      <c r="F210" s="29" t="n">
        <v>2</v>
      </c>
      <c r="G210" s="51">
        <f>E210/F210</f>
        <v/>
      </c>
    </row>
    <row r="211" ht="15.75" customHeight="1">
      <c r="A211" s="48" t="inlineStr">
        <is>
          <t>اجرای سنگ، سرامیک و موزائیک کف/ دیتیل متوسط/ فضای بزرگ</t>
        </is>
      </c>
      <c r="B211" s="23" t="inlineStr">
        <is>
          <t>سنگ، موزائیک، کاشی و سرامیک</t>
        </is>
      </c>
      <c r="C211" s="35" t="inlineStr">
        <is>
          <t>اکیپ سنگ کاری 2 نفره</t>
        </is>
      </c>
      <c r="D211" s="35" t="inlineStr">
        <is>
          <t>متر مربع</t>
        </is>
      </c>
      <c r="E211" s="30" t="n">
        <v>25</v>
      </c>
      <c r="F211" s="29" t="n">
        <v>2</v>
      </c>
      <c r="G211" s="51">
        <f>E211/F211</f>
        <v/>
      </c>
    </row>
    <row r="212" ht="15.75" customHeight="1">
      <c r="A212" s="48" t="inlineStr">
        <is>
          <t>اجرای سنگ، سرامیک و موزائیک کف/ دیتیل پیچیده/ فضای کوچک</t>
        </is>
      </c>
      <c r="B212" s="23" t="inlineStr">
        <is>
          <t>سنگ، موزائیک، کاشی و سرامیک</t>
        </is>
      </c>
      <c r="C212" s="35" t="inlineStr">
        <is>
          <t>اکیپ سنگ کاری 2 نفره</t>
        </is>
      </c>
      <c r="D212" s="35" t="inlineStr">
        <is>
          <t>متر مربع</t>
        </is>
      </c>
      <c r="E212" s="30" t="n">
        <v>7</v>
      </c>
      <c r="F212" s="29" t="n">
        <v>2</v>
      </c>
      <c r="G212" s="51">
        <f>E212/F212</f>
        <v/>
      </c>
    </row>
    <row r="213" ht="15.75" customHeight="1">
      <c r="A213" s="48" t="inlineStr">
        <is>
          <t>اجرای سنگ، سرامیک و موزائیک کف/ دیتیل پیچیده/ فضای متوسط</t>
        </is>
      </c>
      <c r="B213" s="23" t="inlineStr">
        <is>
          <t>سنگ، موزائیک، کاشی و سرامیک</t>
        </is>
      </c>
      <c r="C213" s="35" t="inlineStr">
        <is>
          <t>اکیپ سنگ کاری 2 نفره</t>
        </is>
      </c>
      <c r="D213" s="35" t="inlineStr">
        <is>
          <t>متر مربع</t>
        </is>
      </c>
      <c r="E213" s="28" t="n">
        <v>10</v>
      </c>
      <c r="F213" s="29" t="n">
        <v>2</v>
      </c>
      <c r="G213" s="51">
        <f>E213/F213</f>
        <v/>
      </c>
    </row>
    <row r="214" ht="15.75" customHeight="1">
      <c r="A214" s="48" t="inlineStr">
        <is>
          <t>اجرای سنگ، سرامیک و موزائیک کف/ دیتیل پیچیده/ فضای بزرگ</t>
        </is>
      </c>
      <c r="B214" s="23" t="inlineStr">
        <is>
          <t>سنگ، موزائیک، کاشی و سرامیک</t>
        </is>
      </c>
      <c r="C214" s="35" t="inlineStr">
        <is>
          <t>اکیپ سنگ کاری 2 نفره</t>
        </is>
      </c>
      <c r="D214" s="35" t="inlineStr">
        <is>
          <t>متر مربع</t>
        </is>
      </c>
      <c r="E214" s="30" t="n">
        <v>13</v>
      </c>
      <c r="F214" s="29" t="n">
        <v>2</v>
      </c>
      <c r="G214" s="51">
        <f>E214/F214</f>
        <v/>
      </c>
    </row>
    <row r="215" ht="15.75" customHeight="1">
      <c r="A215" s="48" t="inlineStr">
        <is>
          <t>اجرای سنگ، سرامیک و کاشی دیوار/ دیتیل ساده/ فضای کوچک</t>
        </is>
      </c>
      <c r="B215" s="23" t="inlineStr">
        <is>
          <t>سنگ، موزائیک، کاشی و سرامیک</t>
        </is>
      </c>
      <c r="C215" s="35" t="inlineStr">
        <is>
          <t>اکیپ سنگ کاری 2 نفره</t>
        </is>
      </c>
      <c r="D215" s="35" t="inlineStr">
        <is>
          <t>متر مربع</t>
        </is>
      </c>
      <c r="E215" s="30" t="n">
        <v>11</v>
      </c>
      <c r="F215" s="29" t="n">
        <v>2</v>
      </c>
      <c r="G215" s="51">
        <f>E215/F215</f>
        <v/>
      </c>
    </row>
    <row r="216" ht="15.75" customHeight="1">
      <c r="A216" s="48" t="inlineStr">
        <is>
          <t>اجرای سنگ، سرامیک و کاشی دیوار/ دیتیل ساده/ فضای متوسط</t>
        </is>
      </c>
      <c r="B216" s="23" t="inlineStr">
        <is>
          <t>سنگ، موزائیک، کاشی و سرامیک</t>
        </is>
      </c>
      <c r="C216" s="35" t="inlineStr">
        <is>
          <t>اکیپ سنگ کاری 2 نفره</t>
        </is>
      </c>
      <c r="D216" s="35" t="inlineStr">
        <is>
          <t>متر مربع</t>
        </is>
      </c>
      <c r="E216" s="28" t="n">
        <v>17</v>
      </c>
      <c r="F216" s="29" t="n">
        <v>2</v>
      </c>
      <c r="G216" s="51">
        <f>E216/F216</f>
        <v/>
      </c>
    </row>
    <row r="217" ht="15.75" customHeight="1">
      <c r="A217" s="48" t="inlineStr">
        <is>
          <t>اجرای سنگ، سرامیک و کاشی دیوار/ دیتیل ساده/ فضای بزرگ</t>
        </is>
      </c>
      <c r="B217" s="23" t="inlineStr">
        <is>
          <t>سنگ، موزائیک، کاشی و سرامیک</t>
        </is>
      </c>
      <c r="C217" s="35" t="inlineStr">
        <is>
          <t>اکیپ سنگ کاری 2 نفره</t>
        </is>
      </c>
      <c r="D217" s="35" t="inlineStr">
        <is>
          <t>متر مربع</t>
        </is>
      </c>
      <c r="E217" s="30" t="n">
        <v>23</v>
      </c>
      <c r="F217" s="29" t="n">
        <v>2</v>
      </c>
      <c r="G217" s="51">
        <f>E217/F217</f>
        <v/>
      </c>
    </row>
    <row r="218" ht="15.75" customHeight="1">
      <c r="A218" s="48" t="inlineStr">
        <is>
          <t>اجرای سنگ، سرامیک و کاشی دیوار/ دیتیل متوسط/ فضای کوچک</t>
        </is>
      </c>
      <c r="B218" s="23" t="inlineStr">
        <is>
          <t>سنگ، موزائیک، کاشی و سرامیک</t>
        </is>
      </c>
      <c r="C218" s="35" t="inlineStr">
        <is>
          <t>اکیپ سنگ کاری 2 نفره</t>
        </is>
      </c>
      <c r="D218" s="35" t="inlineStr">
        <is>
          <t>متر مربع</t>
        </is>
      </c>
      <c r="E218" s="30" t="n">
        <v>8</v>
      </c>
      <c r="F218" s="29" t="n">
        <v>2</v>
      </c>
      <c r="G218" s="51">
        <f>E218/F218</f>
        <v/>
      </c>
    </row>
    <row r="219" ht="15.75" customHeight="1">
      <c r="A219" s="48" t="inlineStr">
        <is>
          <t>اجرای سنگ، سرامیک و کاشی دیوار/ دیتیل متوسط/ فضای متوسط</t>
        </is>
      </c>
      <c r="B219" s="23" t="inlineStr">
        <is>
          <t>سنگ، موزائیک، کاشی و سرامیک</t>
        </is>
      </c>
      <c r="C219" s="35" t="inlineStr">
        <is>
          <t>اکیپ سنگ کاری 2 نفره</t>
        </is>
      </c>
      <c r="D219" s="35" t="inlineStr">
        <is>
          <t>متر مربع</t>
        </is>
      </c>
      <c r="E219" s="28" t="n">
        <v>12</v>
      </c>
      <c r="F219" s="29" t="n">
        <v>2</v>
      </c>
      <c r="G219" s="51">
        <f>E219/F219</f>
        <v/>
      </c>
    </row>
    <row r="220" ht="15.75" customHeight="1">
      <c r="A220" s="48" t="inlineStr">
        <is>
          <t>اجرای سنگ، سرامیک و کاشی دیوار/ دیتیل متوسط/ فضای بزرگ</t>
        </is>
      </c>
      <c r="B220" s="23" t="inlineStr">
        <is>
          <t>سنگ، موزائیک، کاشی و سرامیک</t>
        </is>
      </c>
      <c r="C220" s="35" t="inlineStr">
        <is>
          <t>اکیپ سنگ کاری 2 نفره</t>
        </is>
      </c>
      <c r="D220" s="35" t="inlineStr">
        <is>
          <t>متر مربع</t>
        </is>
      </c>
      <c r="E220" s="30" t="n">
        <v>16</v>
      </c>
      <c r="F220" s="29" t="n">
        <v>2</v>
      </c>
      <c r="G220" s="51">
        <f>E220/F220</f>
        <v/>
      </c>
    </row>
    <row r="221" ht="15.75" customHeight="1">
      <c r="A221" s="48" t="inlineStr">
        <is>
          <t>اجرای سنگ، سرامیک و کاشی دیوار/ دیتیل پیچیده/ فضای کوچک</t>
        </is>
      </c>
      <c r="B221" s="23" t="inlineStr">
        <is>
          <t>سنگ، موزائیک، کاشی و سرامیک</t>
        </is>
      </c>
      <c r="C221" s="35" t="inlineStr">
        <is>
          <t>اکیپ سنگ کاری 2 نفره</t>
        </is>
      </c>
      <c r="D221" s="35" t="inlineStr">
        <is>
          <t>متر مربع</t>
        </is>
      </c>
      <c r="E221" s="30" t="n">
        <v>7</v>
      </c>
      <c r="F221" s="29" t="n">
        <v>2</v>
      </c>
      <c r="G221" s="51">
        <f>E221/F221</f>
        <v/>
      </c>
    </row>
    <row r="222" ht="15.75" customHeight="1">
      <c r="A222" s="48" t="inlineStr">
        <is>
          <t>اجرای سنگ، سرامیک و کاشی دیوار/ دیتیل پیچیده/ فضای متوسط</t>
        </is>
      </c>
      <c r="B222" s="23" t="inlineStr">
        <is>
          <t>سنگ، موزائیک، کاشی و سرامیک</t>
        </is>
      </c>
      <c r="C222" s="35" t="inlineStr">
        <is>
          <t>اکیپ سنگ کاری 2 نفره</t>
        </is>
      </c>
      <c r="D222" s="35" t="inlineStr">
        <is>
          <t>متر مربع</t>
        </is>
      </c>
      <c r="E222" s="28" t="n">
        <v>10</v>
      </c>
      <c r="F222" s="29" t="n">
        <v>2</v>
      </c>
      <c r="G222" s="51">
        <f>E222/F222</f>
        <v/>
      </c>
    </row>
    <row r="223" ht="15.75" customHeight="1">
      <c r="A223" s="48" t="inlineStr">
        <is>
          <t>اجرای سنگ، سرامیک و کاشی دیوار/ دیتیل پیچیده/ فضای بزرگ</t>
        </is>
      </c>
      <c r="B223" s="23" t="inlineStr">
        <is>
          <t>سنگ، موزائیک، کاشی و سرامیک</t>
        </is>
      </c>
      <c r="C223" s="35" t="inlineStr">
        <is>
          <t>اکیپ سنگ کاری 2 نفره</t>
        </is>
      </c>
      <c r="D223" s="35" t="inlineStr">
        <is>
          <t>متر مربع</t>
        </is>
      </c>
      <c r="E223" s="30" t="n">
        <v>13</v>
      </c>
      <c r="F223" s="29" t="n">
        <v>2</v>
      </c>
      <c r="G223" s="51">
        <f>E223/F223</f>
        <v/>
      </c>
    </row>
    <row r="224" ht="15.75" customHeight="1">
      <c r="A224" s="48" t="inlineStr">
        <is>
          <t>اجرای کاشی ورقه ای</t>
        </is>
      </c>
      <c r="B224" s="23" t="inlineStr">
        <is>
          <t>سنگ، موزائیک، کاشی و سرامیک</t>
        </is>
      </c>
      <c r="C224" s="35" t="inlineStr">
        <is>
          <t>اکیپ سنگ کاری 1 نفره</t>
        </is>
      </c>
      <c r="D224" s="35" t="inlineStr">
        <is>
          <t>متر مربع</t>
        </is>
      </c>
      <c r="E224" s="30" t="n">
        <v>45</v>
      </c>
      <c r="F224" s="29" t="n">
        <v>1</v>
      </c>
      <c r="G224" s="51">
        <f>E224/F224</f>
        <v/>
      </c>
    </row>
    <row r="225" ht="15.75" customHeight="1">
      <c r="A225" s="48" t="inlineStr">
        <is>
          <t>اجرای سنگ پله/ عرض متوسط</t>
        </is>
      </c>
      <c r="B225" s="23" t="inlineStr">
        <is>
          <t>سنگ، موزائیک، کاشی و سرامیک</t>
        </is>
      </c>
      <c r="C225" s="35" t="inlineStr">
        <is>
          <t>اکیپ سنگ کاری 2 نفره</t>
        </is>
      </c>
      <c r="D225" s="35" t="inlineStr">
        <is>
          <t>تعداد پله</t>
        </is>
      </c>
      <c r="E225" s="28" t="n">
        <v>10</v>
      </c>
      <c r="F225" s="29" t="n">
        <v>2</v>
      </c>
      <c r="G225" s="51">
        <f>E225/F225</f>
        <v/>
      </c>
    </row>
    <row r="226" ht="15.75" customHeight="1">
      <c r="A226" s="48" t="inlineStr">
        <is>
          <t>اجرای سنگ پله/ عرض بزرگ</t>
        </is>
      </c>
      <c r="B226" s="23" t="inlineStr">
        <is>
          <t>سنگ، موزائیک، کاشی و سرامیک</t>
        </is>
      </c>
      <c r="C226" s="35" t="inlineStr">
        <is>
          <t>اکیپ سنگ کاری 2 نفره</t>
        </is>
      </c>
      <c r="D226" s="35" t="inlineStr">
        <is>
          <t>تعداد پله</t>
        </is>
      </c>
      <c r="E226" s="28" t="n">
        <v>5</v>
      </c>
      <c r="F226" s="29" t="n">
        <v>2</v>
      </c>
      <c r="G226" s="51">
        <f>E226/F226</f>
        <v/>
      </c>
    </row>
    <row r="227" ht="15.75" customHeight="1">
      <c r="A227" s="48" t="inlineStr">
        <is>
          <t>اجرای سنگ کتیبه دور درب آسانسور/ دیتیل ساده</t>
        </is>
      </c>
      <c r="B227" s="23" t="inlineStr">
        <is>
          <t>سنگ، موزائیک، کاشی و سرامیک</t>
        </is>
      </c>
      <c r="C227" s="35" t="inlineStr">
        <is>
          <t>اکیپ کارهای چوبی تزئینی 2 نفره</t>
        </is>
      </c>
      <c r="D227" s="35" t="inlineStr">
        <is>
          <t>متر طول</t>
        </is>
      </c>
      <c r="E227" s="28" t="n">
        <v>6</v>
      </c>
      <c r="F227" s="29" t="n">
        <v>2</v>
      </c>
      <c r="G227" s="51">
        <f>E227/F227</f>
        <v/>
      </c>
    </row>
    <row r="228" ht="15.75" customHeight="1">
      <c r="A228" s="48" t="inlineStr">
        <is>
          <t>اجرای سنگ کتیبه دور درب آسانسور/ دیتیل متوسط</t>
        </is>
      </c>
      <c r="B228" s="23" t="inlineStr">
        <is>
          <t>سنگ، موزائیک، کاشی و سرامیک</t>
        </is>
      </c>
      <c r="C228" s="35" t="inlineStr">
        <is>
          <t>اکیپ کارهای چوبی تزئینی 2 نفره</t>
        </is>
      </c>
      <c r="D228" s="35" t="inlineStr">
        <is>
          <t>متر طول</t>
        </is>
      </c>
      <c r="E228" s="28" t="n">
        <v>5</v>
      </c>
      <c r="F228" s="29" t="n">
        <v>2</v>
      </c>
      <c r="G228" s="51">
        <f>E228/F228</f>
        <v/>
      </c>
    </row>
    <row r="229" ht="15.75" customHeight="1">
      <c r="A229" s="48" t="inlineStr">
        <is>
          <t>اجرای سنگ کتیبه دور درب آسانسور/ دیتیل پیچیده</t>
        </is>
      </c>
      <c r="B229" s="23" t="inlineStr">
        <is>
          <t>سنگ، موزائیک، کاشی و سرامیک</t>
        </is>
      </c>
      <c r="C229" s="35" t="inlineStr">
        <is>
          <t>اکیپ کارهای چوبی تزئینی 2 نفره</t>
        </is>
      </c>
      <c r="D229" s="35" t="inlineStr">
        <is>
          <t>متر طول</t>
        </is>
      </c>
      <c r="E229" s="28" t="n">
        <v>4</v>
      </c>
      <c r="F229" s="29" t="n">
        <v>2</v>
      </c>
      <c r="G229" s="51">
        <f>E229/F229</f>
        <v/>
      </c>
    </row>
    <row r="230" ht="15.75" customHeight="1">
      <c r="A230" s="48" t="inlineStr">
        <is>
          <t>اجرای کتیبه سنگی ویترین/ دیتیل ساده</t>
        </is>
      </c>
      <c r="B230" s="23" t="inlineStr">
        <is>
          <t>سنگ، موزائیک، کاشی و سرامیک</t>
        </is>
      </c>
      <c r="C230" s="35" t="inlineStr">
        <is>
          <t>اکیپ سنگ کاری 2 نفره</t>
        </is>
      </c>
      <c r="D230" s="35" t="inlineStr">
        <is>
          <t>متر طول ویترین</t>
        </is>
      </c>
      <c r="E230" s="28" t="n">
        <v>3</v>
      </c>
      <c r="F230" s="29" t="n">
        <v>2</v>
      </c>
      <c r="G230" s="51">
        <f>E230/F230</f>
        <v/>
      </c>
    </row>
    <row r="231" ht="15.75" customHeight="1">
      <c r="A231" s="48" t="inlineStr">
        <is>
          <t>اجرای کتیبه سنگی ویترین/ دیتیل متوسط</t>
        </is>
      </c>
      <c r="B231" s="23" t="inlineStr">
        <is>
          <t>سنگ، موزائیک، کاشی و سرامیک</t>
        </is>
      </c>
      <c r="C231" s="35" t="inlineStr">
        <is>
          <t>اکیپ سنگ کاری 2 نفره</t>
        </is>
      </c>
      <c r="D231" s="35" t="inlineStr">
        <is>
          <t>متر طول ویترین</t>
        </is>
      </c>
      <c r="E231" s="28" t="n">
        <v>2</v>
      </c>
      <c r="F231" s="29" t="n">
        <v>2</v>
      </c>
      <c r="G231" s="51">
        <f>E231/F231</f>
        <v/>
      </c>
    </row>
    <row r="232" ht="15.75" customHeight="1">
      <c r="A232" s="48" t="inlineStr">
        <is>
          <t>اجرای کتیبه سنگی ویترین/ دیتیل پیچیده</t>
        </is>
      </c>
      <c r="B232" s="23" t="inlineStr">
        <is>
          <t>سنگ، موزائیک، کاشی و سرامیک</t>
        </is>
      </c>
      <c r="C232" s="35" t="inlineStr">
        <is>
          <t>اکیپ سنگ کاری 2 نفره</t>
        </is>
      </c>
      <c r="D232" s="35" t="inlineStr">
        <is>
          <t>متر طول ویترین</t>
        </is>
      </c>
      <c r="E232" s="28" t="n">
        <v>1</v>
      </c>
      <c r="F232" s="29" t="n">
        <v>2</v>
      </c>
      <c r="G232" s="51">
        <f>E232/F232</f>
        <v/>
      </c>
    </row>
    <row r="233" ht="15.75" customHeight="1">
      <c r="A233" s="48" t="inlineStr">
        <is>
          <t>نصب صراحی و هندریل/ دیتیل پیچیده</t>
        </is>
      </c>
      <c r="B233" s="23" t="inlineStr">
        <is>
          <t>سنگ، موزائیک، کاشی و سرامیک</t>
        </is>
      </c>
      <c r="C233" s="35" t="inlineStr">
        <is>
          <t>اکیپ سنگ کاری 2 نفره</t>
        </is>
      </c>
      <c r="D233" s="35" t="inlineStr">
        <is>
          <t>متر طول</t>
        </is>
      </c>
      <c r="E233" s="28" t="n">
        <v>1.5</v>
      </c>
      <c r="F233" s="29" t="n">
        <v>2</v>
      </c>
      <c r="G233" s="51">
        <f>E233/F233</f>
        <v/>
      </c>
    </row>
    <row r="234" ht="15.75" customHeight="1">
      <c r="A234" s="48" t="inlineStr">
        <is>
          <t>اجرای باربکیو سنگی لوکس</t>
        </is>
      </c>
      <c r="B234" s="23" t="inlineStr">
        <is>
          <t>سنگ، موزائیک، کاشی و سرامیک</t>
        </is>
      </c>
      <c r="C234" s="35" t="inlineStr">
        <is>
          <t>اکیپ سنگ کاری 2 نفره</t>
        </is>
      </c>
      <c r="D234" s="35" t="inlineStr">
        <is>
          <t>تعداد</t>
        </is>
      </c>
      <c r="E234" s="28" t="n">
        <v>0.25</v>
      </c>
      <c r="F234" s="29" t="n">
        <v>2</v>
      </c>
      <c r="G234" s="51">
        <f>E234/F234</f>
        <v/>
      </c>
    </row>
    <row r="235" ht="15.75" customHeight="1">
      <c r="A235" s="48" t="inlineStr">
        <is>
          <t>اجرای شومینه سنگی لوکس</t>
        </is>
      </c>
      <c r="B235" s="23" t="inlineStr">
        <is>
          <t>سنگ، موزائیک، کاشی و سرامیک</t>
        </is>
      </c>
      <c r="C235" s="35" t="inlineStr">
        <is>
          <t>اکیپ سنگ کاری 2 نفره</t>
        </is>
      </c>
      <c r="D235" s="35" t="inlineStr">
        <is>
          <t>تعداد</t>
        </is>
      </c>
      <c r="E235" s="28" t="n">
        <v>1</v>
      </c>
      <c r="F235" s="29" t="n">
        <v>2</v>
      </c>
      <c r="G235" s="51" t="n">
        <v>1</v>
      </c>
    </row>
    <row r="236" ht="15.75" customHeight="1">
      <c r="A236" s="48" t="inlineStr">
        <is>
          <t>ساب سنگ کف/ فضای کوچک</t>
        </is>
      </c>
      <c r="B236" s="23" t="inlineStr">
        <is>
          <t>سنگ، موزائیک، کاشی و سرامیک</t>
        </is>
      </c>
      <c r="C236" s="35" t="inlineStr">
        <is>
          <t>اکیپ ساب سنگ 1 نفره</t>
        </is>
      </c>
      <c r="D236" s="35" t="inlineStr">
        <is>
          <t>متر مربع</t>
        </is>
      </c>
      <c r="E236" s="30" t="n">
        <v>56</v>
      </c>
      <c r="F236" s="29" t="n">
        <v>1</v>
      </c>
      <c r="G236" s="51">
        <f>E236/F236</f>
        <v/>
      </c>
    </row>
    <row r="237" ht="15.75" customHeight="1">
      <c r="A237" s="48" t="inlineStr">
        <is>
          <t>ساب سنگ کف/ فضای متوسط</t>
        </is>
      </c>
      <c r="B237" s="23" t="inlineStr">
        <is>
          <t>سنگ، موزائیک، کاشی و سرامیک</t>
        </is>
      </c>
      <c r="C237" s="35" t="inlineStr">
        <is>
          <t>اکیپ ساب سنگ 1 نفره</t>
        </is>
      </c>
      <c r="D237" s="35" t="inlineStr">
        <is>
          <t>متر مربع</t>
        </is>
      </c>
      <c r="E237" s="28" t="n">
        <v>80</v>
      </c>
      <c r="F237" s="29" t="n">
        <v>1</v>
      </c>
      <c r="G237" s="51">
        <f>E237/F237</f>
        <v/>
      </c>
    </row>
    <row r="238" ht="15.75" customHeight="1">
      <c r="A238" s="48" t="inlineStr">
        <is>
          <t>ساب سنگ کف/ فضای بزرگ</t>
        </is>
      </c>
      <c r="B238" s="23" t="inlineStr">
        <is>
          <t>سنگ، موزائیک، کاشی و سرامیک</t>
        </is>
      </c>
      <c r="C238" s="35" t="inlineStr">
        <is>
          <t>اکیپ ساب سنگ 1 نفره</t>
        </is>
      </c>
      <c r="D238" s="35" t="inlineStr">
        <is>
          <t>متر مربع</t>
        </is>
      </c>
      <c r="E238" s="30" t="n">
        <v>104</v>
      </c>
      <c r="F238" s="29" t="n">
        <v>1</v>
      </c>
      <c r="G238" s="51">
        <f>E238/F238</f>
        <v/>
      </c>
    </row>
    <row r="239" ht="15.75" customHeight="1">
      <c r="A239" s="48" t="inlineStr">
        <is>
          <t>نصب قرنیز سنگی/ دیتیل ساده</t>
        </is>
      </c>
      <c r="B239" s="23" t="inlineStr">
        <is>
          <t>سنگ، موزائیک، کاشی و سرامیک</t>
        </is>
      </c>
      <c r="C239" s="35" t="inlineStr">
        <is>
          <t>اکیپ سنگ کاری 2 نفره</t>
        </is>
      </c>
      <c r="D239" s="35" t="inlineStr">
        <is>
          <t>متر طول</t>
        </is>
      </c>
      <c r="E239" s="28" t="n">
        <v>55</v>
      </c>
      <c r="F239" s="29" t="n">
        <v>2</v>
      </c>
      <c r="G239" s="51">
        <f>E239/F239</f>
        <v/>
      </c>
    </row>
    <row r="240" ht="15.75" customHeight="1">
      <c r="A240" s="48" t="inlineStr">
        <is>
          <t>نصب قرنیز سنگی/ دیتیل متوسط</t>
        </is>
      </c>
      <c r="B240" s="23" t="inlineStr">
        <is>
          <t>سنگ، موزائیک، کاشی و سرامیک</t>
        </is>
      </c>
      <c r="C240" s="35" t="inlineStr">
        <is>
          <t>اکیپ سنگ کاری 2 نفره</t>
        </is>
      </c>
      <c r="D240" s="35" t="inlineStr">
        <is>
          <t>متر طول</t>
        </is>
      </c>
      <c r="E240" s="28" t="n">
        <v>40</v>
      </c>
      <c r="F240" s="29" t="n">
        <v>2</v>
      </c>
      <c r="G240" s="51">
        <f>E240/F240</f>
        <v/>
      </c>
    </row>
    <row r="241" ht="15.75" customHeight="1">
      <c r="A241" s="48" t="inlineStr">
        <is>
          <t>نصب قرنیز سنگی/ دیتیل پیچیده</t>
        </is>
      </c>
      <c r="B241" s="23" t="inlineStr">
        <is>
          <t>سنگ، موزائیک، کاشی و سرامیک</t>
        </is>
      </c>
      <c r="C241" s="35" t="inlineStr">
        <is>
          <t>اکیپ سنگ کاری 2 نفره</t>
        </is>
      </c>
      <c r="D241" s="35" t="inlineStr">
        <is>
          <t>متر طول</t>
        </is>
      </c>
      <c r="E241" s="28" t="n">
        <v>25</v>
      </c>
      <c r="F241" s="29" t="n">
        <v>2</v>
      </c>
      <c r="G241" s="51">
        <f>E241/F241</f>
        <v/>
      </c>
    </row>
    <row r="242">
      <c r="A242" s="42" t="inlineStr">
        <is>
          <t>تاسیسات الکتریکال</t>
        </is>
      </c>
      <c r="B242" s="23" t="inlineStr">
        <is>
          <t>تاسیسات الکتریکال</t>
        </is>
      </c>
      <c r="C242" s="24" t="n"/>
      <c r="D242" s="24" t="n"/>
      <c r="E242" s="25" t="n"/>
      <c r="F242" s="26" t="n"/>
      <c r="G242" s="51" t="n"/>
    </row>
    <row r="243" ht="15.75" customHeight="1">
      <c r="A243" s="48" t="inlineStr">
        <is>
          <t>نصب ساپورت و سینی کابل/ فضای کوچک</t>
        </is>
      </c>
      <c r="B243" s="23" t="inlineStr">
        <is>
          <t>تاسیسات الکتریکال</t>
        </is>
      </c>
      <c r="C243" s="35" t="inlineStr">
        <is>
          <t>اکیپ لوله گذاری الکتریکال 2 نفره</t>
        </is>
      </c>
      <c r="D243" s="35" t="inlineStr">
        <is>
          <t>متر مربع زیربنا</t>
        </is>
      </c>
      <c r="E243" s="30" t="n">
        <v>31</v>
      </c>
      <c r="F243" s="29" t="n">
        <v>2</v>
      </c>
      <c r="G243" s="51">
        <f>E243/F243</f>
        <v/>
      </c>
    </row>
    <row r="244" ht="15.75" customHeight="1">
      <c r="A244" s="48" t="inlineStr">
        <is>
          <t>نصب ساپورت و سینی کابل/ فضای متوسط</t>
        </is>
      </c>
      <c r="B244" s="23" t="inlineStr">
        <is>
          <t>تاسیسات الکتریکال</t>
        </is>
      </c>
      <c r="C244" s="35" t="inlineStr">
        <is>
          <t>اکیپ لوله گذاری الکتریکال 2 نفره</t>
        </is>
      </c>
      <c r="D244" s="35" t="inlineStr">
        <is>
          <t>متر مربع زیربنا</t>
        </is>
      </c>
      <c r="E244" s="28" t="n">
        <v>45</v>
      </c>
      <c r="F244" s="29" t="n">
        <v>2</v>
      </c>
      <c r="G244" s="51">
        <f>E244/F244</f>
        <v/>
      </c>
    </row>
    <row r="245" ht="15.75" customHeight="1">
      <c r="A245" s="48" t="inlineStr">
        <is>
          <t>نصب ساپورت و سینی کابل/ فضای بزرگ</t>
        </is>
      </c>
      <c r="B245" s="23" t="inlineStr">
        <is>
          <t>تاسیسات الکتریکال</t>
        </is>
      </c>
      <c r="C245" s="35" t="inlineStr">
        <is>
          <t>اکیپ لوله گذاری الکتریکال 2 نفره</t>
        </is>
      </c>
      <c r="D245" s="35" t="inlineStr">
        <is>
          <t>متر مربع زیربنا</t>
        </is>
      </c>
      <c r="E245" s="30" t="n">
        <v>59</v>
      </c>
      <c r="F245" s="29" t="n">
        <v>2</v>
      </c>
      <c r="G245" s="51">
        <f>E245/F245</f>
        <v/>
      </c>
    </row>
    <row r="246" ht="15.75" customHeight="1">
      <c r="A246" s="48" t="inlineStr">
        <is>
          <t>نصب قوطی و لوله گذاری الکتریکال کف/ فضای کوچک</t>
        </is>
      </c>
      <c r="B246" s="23" t="inlineStr">
        <is>
          <t>تاسیسات الکتریکال</t>
        </is>
      </c>
      <c r="C246" s="35" t="inlineStr">
        <is>
          <t>اکیپ لوله گذاری الکتریکال 2 نفره</t>
        </is>
      </c>
      <c r="D246" s="35" t="inlineStr">
        <is>
          <t>متر مربع زیربنا</t>
        </is>
      </c>
      <c r="E246" s="30" t="n">
        <v>77</v>
      </c>
      <c r="F246" s="29" t="n">
        <v>2</v>
      </c>
      <c r="G246" s="51">
        <f>E246/F246</f>
        <v/>
      </c>
    </row>
    <row r="247" ht="15.75" customHeight="1">
      <c r="A247" s="48" t="inlineStr">
        <is>
          <t>نصب قوطی و لوله گذاری الکتریکال کف/ فضای متوسط</t>
        </is>
      </c>
      <c r="B247" s="23" t="inlineStr">
        <is>
          <t>تاسیسات الکتریکال</t>
        </is>
      </c>
      <c r="C247" s="35" t="inlineStr">
        <is>
          <t>اکیپ لوله گذاری الکتریکال 2 نفره</t>
        </is>
      </c>
      <c r="D247" s="35" t="inlineStr">
        <is>
          <t>متر مربع زیربنا</t>
        </is>
      </c>
      <c r="E247" s="28" t="n">
        <v>110</v>
      </c>
      <c r="F247" s="29" t="n">
        <v>2</v>
      </c>
      <c r="G247" s="51">
        <f>E247/F247</f>
        <v/>
      </c>
    </row>
    <row r="248" ht="15.75" customHeight="1">
      <c r="A248" s="48" t="inlineStr">
        <is>
          <t>نصب قوطی و لوله گذاری الکتریکال کف/ فضای بزرگ</t>
        </is>
      </c>
      <c r="B248" s="23" t="inlineStr">
        <is>
          <t>تاسیسات الکتریکال</t>
        </is>
      </c>
      <c r="C248" s="35" t="inlineStr">
        <is>
          <t>اکیپ لوله گذاری الکتریکال 2 نفره</t>
        </is>
      </c>
      <c r="D248" s="35" t="inlineStr">
        <is>
          <t>متر مربع زیربنا</t>
        </is>
      </c>
      <c r="E248" s="30" t="n">
        <v>143</v>
      </c>
      <c r="F248" s="29" t="n">
        <v>2</v>
      </c>
      <c r="G248" s="51">
        <f>E248/F248</f>
        <v/>
      </c>
    </row>
    <row r="249" ht="15.75" customHeight="1">
      <c r="A249" s="48" t="inlineStr">
        <is>
          <t>نصب قوطی و لوله گذاری الکتریکال دیوار/ فضای کوچک</t>
        </is>
      </c>
      <c r="B249" s="23" t="inlineStr">
        <is>
          <t>تاسیسات الکتریکال</t>
        </is>
      </c>
      <c r="C249" s="35" t="inlineStr">
        <is>
          <t>اکیپ لوله گذاری الکتریکال 2 نفره</t>
        </is>
      </c>
      <c r="D249" s="35" t="inlineStr">
        <is>
          <t>متر مربع زیربنا</t>
        </is>
      </c>
      <c r="E249" s="30" t="n">
        <v>73</v>
      </c>
      <c r="F249" s="29" t="n">
        <v>2</v>
      </c>
      <c r="G249" s="51">
        <f>E249/F249</f>
        <v/>
      </c>
    </row>
    <row r="250" ht="15.75" customHeight="1">
      <c r="A250" s="48" t="inlineStr">
        <is>
          <t>نصب قوطی و لوله گذاری الکتریکال دیوار/ فضای متوسط</t>
        </is>
      </c>
      <c r="B250" s="23" t="inlineStr">
        <is>
          <t>تاسیسات الکتریکال</t>
        </is>
      </c>
      <c r="C250" s="35" t="inlineStr">
        <is>
          <t>اکیپ لوله گذاری الکتریکال 2 نفره</t>
        </is>
      </c>
      <c r="D250" s="35" t="inlineStr">
        <is>
          <t>متر مربع زیربنا</t>
        </is>
      </c>
      <c r="E250" s="28" t="n">
        <v>105</v>
      </c>
      <c r="F250" s="29" t="n">
        <v>2</v>
      </c>
      <c r="G250" s="51">
        <f>E250/F250</f>
        <v/>
      </c>
    </row>
    <row r="251" ht="15.75" customHeight="1">
      <c r="A251" s="48" t="inlineStr">
        <is>
          <t>نصب قوطی و لوله گذاری الکتریکال دیوار/ فضای بزرگ</t>
        </is>
      </c>
      <c r="B251" s="23" t="inlineStr">
        <is>
          <t>تاسیسات الکتریکال</t>
        </is>
      </c>
      <c r="C251" s="35" t="inlineStr">
        <is>
          <t>اکیپ لوله گذاری الکتریکال 2 نفره</t>
        </is>
      </c>
      <c r="D251" s="35" t="inlineStr">
        <is>
          <t>متر مربع زیربنا</t>
        </is>
      </c>
      <c r="E251" s="30" t="n">
        <v>137</v>
      </c>
      <c r="F251" s="29" t="n">
        <v>2</v>
      </c>
      <c r="G251" s="51">
        <f>E251/F251</f>
        <v/>
      </c>
    </row>
    <row r="252" ht="15.75" customHeight="1">
      <c r="A252" s="48" t="inlineStr">
        <is>
          <t>نصب قوطی و لوله گذاری الکتریکال سقف/ فضای کوچک</t>
        </is>
      </c>
      <c r="B252" s="23" t="inlineStr">
        <is>
          <t>تاسیسات الکتریکال</t>
        </is>
      </c>
      <c r="C252" s="35" t="inlineStr">
        <is>
          <t>اکیپ لوله گذاری الکتریکال 2 نفره</t>
        </is>
      </c>
      <c r="D252" s="35" t="inlineStr">
        <is>
          <t>متر مربع زیربنا</t>
        </is>
      </c>
      <c r="E252" s="30" t="n">
        <v>66</v>
      </c>
      <c r="F252" s="29" t="n">
        <v>2</v>
      </c>
      <c r="G252" s="51">
        <f>E252/F252</f>
        <v/>
      </c>
    </row>
    <row r="253" ht="15.75" customHeight="1">
      <c r="A253" s="48" t="inlineStr">
        <is>
          <t>نصب قوطی و لوله گذاری الکتریکال سقف/ فضای متوسط</t>
        </is>
      </c>
      <c r="B253" s="23" t="inlineStr">
        <is>
          <t>تاسیسات الکتریکال</t>
        </is>
      </c>
      <c r="C253" s="35" t="inlineStr">
        <is>
          <t>اکیپ لوله گذاری الکتریکال 2 نفره</t>
        </is>
      </c>
      <c r="D253" s="35" t="inlineStr">
        <is>
          <t>متر مربع زیربنا</t>
        </is>
      </c>
      <c r="E253" s="28" t="n">
        <v>95</v>
      </c>
      <c r="F253" s="29" t="n">
        <v>2</v>
      </c>
      <c r="G253" s="51">
        <f>E253/F253</f>
        <v/>
      </c>
    </row>
    <row r="254" ht="15.75" customHeight="1">
      <c r="A254" s="48" t="inlineStr">
        <is>
          <t>نصب قوطی و لوله گذاری الکتریکال سقف/ فضای بزرگ</t>
        </is>
      </c>
      <c r="B254" s="23" t="inlineStr">
        <is>
          <t>تاسیسات الکتریکال</t>
        </is>
      </c>
      <c r="C254" s="35" t="inlineStr">
        <is>
          <t>اکیپ لوله گذاری الکتریکال 2 نفره</t>
        </is>
      </c>
      <c r="D254" s="35" t="inlineStr">
        <is>
          <t>متر مربع زیربنا</t>
        </is>
      </c>
      <c r="E254" s="30" t="n">
        <v>124</v>
      </c>
      <c r="F254" s="29" t="n">
        <v>2</v>
      </c>
      <c r="G254" s="51">
        <f>E254/F254</f>
        <v/>
      </c>
    </row>
    <row r="255" ht="15.75" customHeight="1">
      <c r="A255" s="48" t="inlineStr">
        <is>
          <t>نصب قوطی و لوله گذاری الکتریکال کف و دیوار/ فضای کوچک</t>
        </is>
      </c>
      <c r="B255" s="23" t="inlineStr">
        <is>
          <t>تاسیسات الکتریکال</t>
        </is>
      </c>
      <c r="C255" s="35" t="inlineStr">
        <is>
          <t>اکیپ لوله گذاری الکتریکال 2 نفره</t>
        </is>
      </c>
      <c r="D255" s="35" t="inlineStr">
        <is>
          <t>متر مربع زیربنا</t>
        </is>
      </c>
      <c r="E255" s="30" t="n">
        <v>52</v>
      </c>
      <c r="F255" s="29" t="n">
        <v>2</v>
      </c>
      <c r="G255" s="51">
        <f>E255/F255</f>
        <v/>
      </c>
    </row>
    <row r="256" ht="15.75" customHeight="1">
      <c r="A256" s="48" t="inlineStr">
        <is>
          <t>نصب قوطی و لوله گذاری الکتریکال کف و دیوار/ فضای متوسط</t>
        </is>
      </c>
      <c r="B256" s="23" t="inlineStr">
        <is>
          <t>تاسیسات الکتریکال</t>
        </is>
      </c>
      <c r="C256" s="35" t="inlineStr">
        <is>
          <t>اکیپ لوله گذاری الکتریکال 2 نفره</t>
        </is>
      </c>
      <c r="D256" s="35" t="inlineStr">
        <is>
          <t>متر مربع زیربنا</t>
        </is>
      </c>
      <c r="E256" s="28" t="n">
        <v>75</v>
      </c>
      <c r="F256" s="29" t="n">
        <v>2</v>
      </c>
      <c r="G256" s="51">
        <f>E256/F256</f>
        <v/>
      </c>
    </row>
    <row r="257" ht="15.75" customHeight="1">
      <c r="A257" s="48" t="inlineStr">
        <is>
          <t>نصب قوطی و لوله گذاری الکتریکال کف و دیوار/ فضای بزرگ</t>
        </is>
      </c>
      <c r="B257" s="23" t="inlineStr">
        <is>
          <t>تاسیسات الکتریکال</t>
        </is>
      </c>
      <c r="C257" s="35" t="inlineStr">
        <is>
          <t>اکیپ لوله گذاری الکتریکال 2 نفره</t>
        </is>
      </c>
      <c r="D257" s="35" t="inlineStr">
        <is>
          <t>متر مربع زیربنا</t>
        </is>
      </c>
      <c r="E257" s="30" t="n">
        <v>98</v>
      </c>
      <c r="F257" s="29" t="n">
        <v>2</v>
      </c>
      <c r="G257" s="51">
        <f>E257/F257</f>
        <v/>
      </c>
    </row>
    <row r="258" ht="15.75" customHeight="1">
      <c r="A258" s="48" t="inlineStr">
        <is>
          <t>نصب قوطی و لوله گذاری الکتریکال کف، دیوار و سقف/ فضای کوچک</t>
        </is>
      </c>
      <c r="B258" s="23" t="inlineStr">
        <is>
          <t>تاسیسات الکتریکال</t>
        </is>
      </c>
      <c r="C258" s="35" t="inlineStr">
        <is>
          <t>اکیپ لوله گذاری الکتریکال 2 نفره</t>
        </is>
      </c>
      <c r="D258" s="35" t="inlineStr">
        <is>
          <t>متر مربع زیربنا</t>
        </is>
      </c>
      <c r="E258" s="30" t="n">
        <v>45</v>
      </c>
      <c r="F258" s="29" t="n">
        <v>2</v>
      </c>
      <c r="G258" s="51">
        <f>E258/F258</f>
        <v/>
      </c>
    </row>
    <row r="259" ht="15.75" customHeight="1">
      <c r="A259" s="48" t="inlineStr">
        <is>
          <t>نصب قوطی و لوله گذاری الکتریکال کف، دیوار و سقف/ فضای متوسط</t>
        </is>
      </c>
      <c r="B259" s="23" t="inlineStr">
        <is>
          <t>تاسیسات الکتریکال</t>
        </is>
      </c>
      <c r="C259" s="35" t="inlineStr">
        <is>
          <t>اکیپ لوله گذاری الکتریکال 2 نفره</t>
        </is>
      </c>
      <c r="D259" s="35" t="inlineStr">
        <is>
          <t>متر مربع زیربنا</t>
        </is>
      </c>
      <c r="E259" s="28" t="n">
        <v>65</v>
      </c>
      <c r="F259" s="29" t="n">
        <v>2</v>
      </c>
      <c r="G259" s="51">
        <f>E259/F259</f>
        <v/>
      </c>
    </row>
    <row r="260" ht="15.75" customHeight="1">
      <c r="A260" s="48" t="inlineStr">
        <is>
          <t>نصب قوطی و لوله گذاری الکتریکال کف، دیوار و سقف/ فضای بزرگ</t>
        </is>
      </c>
      <c r="B260" s="23" t="inlineStr">
        <is>
          <t>تاسیسات الکتریکال</t>
        </is>
      </c>
      <c r="C260" s="35" t="inlineStr">
        <is>
          <t>اکیپ لوله گذاری الکتریکال 2 نفره</t>
        </is>
      </c>
      <c r="D260" s="35" t="inlineStr">
        <is>
          <t>متر مربع زیربنا</t>
        </is>
      </c>
      <c r="E260" s="30" t="n">
        <v>85</v>
      </c>
      <c r="F260" s="29" t="n">
        <v>2</v>
      </c>
      <c r="G260" s="51">
        <f>E260/F260</f>
        <v/>
      </c>
    </row>
    <row r="261" ht="15.75" customHeight="1">
      <c r="A261" s="48" t="inlineStr">
        <is>
          <t>سیم کشی/ دیتیل ساده/ فضای کوچک</t>
        </is>
      </c>
      <c r="B261" s="23" t="inlineStr">
        <is>
          <t>تاسیسات الکتریکال</t>
        </is>
      </c>
      <c r="C261" s="35" t="inlineStr">
        <is>
          <t>اکیپ سیم کشی 1 نفره</t>
        </is>
      </c>
      <c r="D261" s="35" t="inlineStr">
        <is>
          <t>متر مربع زیربنا</t>
        </is>
      </c>
      <c r="E261" s="30" t="n">
        <v>70</v>
      </c>
      <c r="F261" s="29" t="n">
        <v>1</v>
      </c>
      <c r="G261" s="51">
        <f>E261/F261</f>
        <v/>
      </c>
    </row>
    <row r="262" ht="15.75" customHeight="1">
      <c r="A262" s="48" t="inlineStr">
        <is>
          <t>سیم کشی/ دیتیل ساده/ فضای متوسط</t>
        </is>
      </c>
      <c r="B262" s="23" t="inlineStr">
        <is>
          <t>تاسیسات الکتریکال</t>
        </is>
      </c>
      <c r="C262" s="35" t="inlineStr">
        <is>
          <t>اکیپ سیم کشی 1 نفره</t>
        </is>
      </c>
      <c r="D262" s="35" t="inlineStr">
        <is>
          <t>متر مربع زیربنا</t>
        </is>
      </c>
      <c r="E262" s="28" t="n">
        <v>100</v>
      </c>
      <c r="F262" s="29" t="n">
        <v>1</v>
      </c>
      <c r="G262" s="51">
        <f>E262/F262</f>
        <v/>
      </c>
    </row>
    <row r="263" ht="15.75" customHeight="1">
      <c r="A263" s="48" t="inlineStr">
        <is>
          <t>سیم کشی/ دیتیل ساده/ فضای بزرگ</t>
        </is>
      </c>
      <c r="B263" s="23" t="inlineStr">
        <is>
          <t>تاسیسات الکتریکال</t>
        </is>
      </c>
      <c r="C263" s="35" t="inlineStr">
        <is>
          <t>اکیپ سیم کشی 1 نفره</t>
        </is>
      </c>
      <c r="D263" s="35" t="inlineStr">
        <is>
          <t>متر مربع زیربنا</t>
        </is>
      </c>
      <c r="E263" s="30" t="n">
        <v>130</v>
      </c>
      <c r="F263" s="29" t="n">
        <v>1</v>
      </c>
      <c r="G263" s="51">
        <f>E263/F263</f>
        <v/>
      </c>
    </row>
    <row r="264" ht="15.75" customHeight="1">
      <c r="A264" s="48" t="inlineStr">
        <is>
          <t>سیم کشی/ دیتیل متوسط/ فضای کوچک</t>
        </is>
      </c>
      <c r="B264" s="23" t="inlineStr">
        <is>
          <t>تاسیسات الکتریکال</t>
        </is>
      </c>
      <c r="C264" s="35" t="inlineStr">
        <is>
          <t>اکیپ سیم کشی 1 نفره</t>
        </is>
      </c>
      <c r="D264" s="35" t="inlineStr">
        <is>
          <t>متر مربع زیربنا</t>
        </is>
      </c>
      <c r="E264" s="30" t="n">
        <v>49</v>
      </c>
      <c r="F264" s="29" t="n">
        <v>1</v>
      </c>
      <c r="G264" s="51">
        <f>E264/F264</f>
        <v/>
      </c>
    </row>
    <row r="265" ht="15.75" customHeight="1">
      <c r="A265" s="48" t="inlineStr">
        <is>
          <t>سیم کشی/ دیتیل متوسط/ فضای متوسط</t>
        </is>
      </c>
      <c r="B265" s="23" t="inlineStr">
        <is>
          <t>تاسیسات الکتریکال</t>
        </is>
      </c>
      <c r="C265" s="35" t="inlineStr">
        <is>
          <t>اکیپ سیم کشی 1 نفره</t>
        </is>
      </c>
      <c r="D265" s="35" t="inlineStr">
        <is>
          <t>متر مربع زیربنا</t>
        </is>
      </c>
      <c r="E265" s="28" t="n">
        <v>70</v>
      </c>
      <c r="F265" s="29" t="n">
        <v>1</v>
      </c>
      <c r="G265" s="51">
        <f>E265/F265</f>
        <v/>
      </c>
    </row>
    <row r="266" ht="15.75" customHeight="1">
      <c r="A266" s="48" t="inlineStr">
        <is>
          <t>سیم کشی/ دیتیل متوسط/ فضای بزرگ</t>
        </is>
      </c>
      <c r="B266" s="23" t="inlineStr">
        <is>
          <t>تاسیسات الکتریکال</t>
        </is>
      </c>
      <c r="C266" s="35" t="inlineStr">
        <is>
          <t>اکیپ سیم کشی 1 نفره</t>
        </is>
      </c>
      <c r="D266" s="35" t="inlineStr">
        <is>
          <t>متر مربع زیربنا</t>
        </is>
      </c>
      <c r="E266" s="30" t="n">
        <v>91</v>
      </c>
      <c r="F266" s="29" t="n">
        <v>1</v>
      </c>
      <c r="G266" s="51">
        <f>E266/F266</f>
        <v/>
      </c>
    </row>
    <row r="267" ht="15.75" customHeight="1">
      <c r="A267" s="48" t="inlineStr">
        <is>
          <t>سیم کشی/ دیتیل پیچیده/ فضای کوچک</t>
        </is>
      </c>
      <c r="B267" s="23" t="inlineStr">
        <is>
          <t>تاسیسات الکتریکال</t>
        </is>
      </c>
      <c r="C267" s="35" t="inlineStr">
        <is>
          <t>اکیپ سیم کشی 1 نفره</t>
        </is>
      </c>
      <c r="D267" s="35" t="inlineStr">
        <is>
          <t>متر مربع زیربنا</t>
        </is>
      </c>
      <c r="E267" s="30" t="n">
        <v>31</v>
      </c>
      <c r="F267" s="29" t="n">
        <v>1</v>
      </c>
      <c r="G267" s="51">
        <f>E267/F267</f>
        <v/>
      </c>
    </row>
    <row r="268" ht="15.75" customHeight="1">
      <c r="A268" s="48" t="inlineStr">
        <is>
          <t>سیم کشی/ دیتیل پیچیده/ فضای متوسط</t>
        </is>
      </c>
      <c r="B268" s="23" t="inlineStr">
        <is>
          <t>تاسیسات الکتریکال</t>
        </is>
      </c>
      <c r="C268" s="35" t="inlineStr">
        <is>
          <t>اکیپ سیم کشی 1 نفره</t>
        </is>
      </c>
      <c r="D268" s="35" t="inlineStr">
        <is>
          <t>متر مربع زیربنا</t>
        </is>
      </c>
      <c r="E268" s="28" t="n">
        <v>45</v>
      </c>
      <c r="F268" s="29" t="n">
        <v>1</v>
      </c>
      <c r="G268" s="51">
        <f>E268/F268</f>
        <v/>
      </c>
    </row>
    <row r="269" ht="15.75" customHeight="1">
      <c r="A269" s="48" t="inlineStr">
        <is>
          <t>سیم کشی/ دیتیل پیچیده/ فضای بزرگ</t>
        </is>
      </c>
      <c r="B269" s="23" t="inlineStr">
        <is>
          <t>تاسیسات الکتریکال</t>
        </is>
      </c>
      <c r="C269" s="35" t="inlineStr">
        <is>
          <t>اکیپ سیم کشی 1 نفره</t>
        </is>
      </c>
      <c r="D269" s="35" t="inlineStr">
        <is>
          <t>متر مربع زیربنا</t>
        </is>
      </c>
      <c r="E269" s="30" t="n">
        <v>59</v>
      </c>
      <c r="F269" s="29" t="n">
        <v>1</v>
      </c>
      <c r="G269" s="51">
        <f>E269/F269</f>
        <v/>
      </c>
    </row>
    <row r="270" ht="15.75" customHeight="1">
      <c r="A270" s="48" t="inlineStr">
        <is>
          <t>نصب تابلو برق/ دیتیل ساده</t>
        </is>
      </c>
      <c r="B270" s="23" t="inlineStr">
        <is>
          <t>تاسیسات الکتریکال</t>
        </is>
      </c>
      <c r="C270" s="35" t="inlineStr">
        <is>
          <t>اکیپ نصب تابلو برق 1 نفره</t>
        </is>
      </c>
      <c r="D270" s="35" t="inlineStr">
        <is>
          <t>تعداد</t>
        </is>
      </c>
      <c r="E270" s="28" t="n">
        <v>0.5</v>
      </c>
      <c r="F270" s="29" t="n">
        <v>1</v>
      </c>
      <c r="G270" s="51">
        <f>E270/F270</f>
        <v/>
      </c>
    </row>
    <row r="271" ht="15.75" customHeight="1">
      <c r="A271" s="48" t="inlineStr">
        <is>
          <t>نصب تابلو برق/ دیتیل متوسط</t>
        </is>
      </c>
      <c r="B271" s="23" t="inlineStr">
        <is>
          <t>تاسیسات الکتریکال</t>
        </is>
      </c>
      <c r="C271" s="35" t="inlineStr">
        <is>
          <t>اکیپ نصب تابلو برق 1 نفره</t>
        </is>
      </c>
      <c r="D271" s="35" t="inlineStr">
        <is>
          <t>تعداد</t>
        </is>
      </c>
      <c r="E271" s="28">
        <f>1/5</f>
        <v/>
      </c>
      <c r="F271" s="29" t="n">
        <v>1</v>
      </c>
      <c r="G271" s="51">
        <f>E271/F271</f>
        <v/>
      </c>
    </row>
    <row r="272" ht="15.75" customHeight="1">
      <c r="A272" s="48" t="inlineStr">
        <is>
          <t>نصب تابلو برق/ دیتیل پیچیده</t>
        </is>
      </c>
      <c r="B272" s="23" t="inlineStr">
        <is>
          <t>تاسیسات الکتریکال</t>
        </is>
      </c>
      <c r="C272" s="35" t="inlineStr">
        <is>
          <t>اکیپ نصب تابلو برق 1 نفره</t>
        </is>
      </c>
      <c r="D272" s="35" t="inlineStr">
        <is>
          <t>تعداد</t>
        </is>
      </c>
      <c r="E272" s="28" t="n">
        <v>0.1</v>
      </c>
      <c r="F272" s="29" t="n">
        <v>1</v>
      </c>
      <c r="G272" s="51">
        <f>E272/F272</f>
        <v/>
      </c>
    </row>
    <row r="273" ht="15.75" customHeight="1">
      <c r="A273" s="48" t="inlineStr">
        <is>
          <t>نصب تجهیزات روشنایی/ دیتیل ساده</t>
        </is>
      </c>
      <c r="B273" s="23" t="inlineStr">
        <is>
          <t>تاسیسات الکتریکال</t>
        </is>
      </c>
      <c r="C273" s="35" t="inlineStr">
        <is>
          <t>اکیپ نصب تجهیزات الکتریکال 1 نفره</t>
        </is>
      </c>
      <c r="D273" s="35" t="inlineStr">
        <is>
          <t>متر مربع زیربنا</t>
        </is>
      </c>
      <c r="E273" s="28" t="n">
        <v>80</v>
      </c>
      <c r="F273" s="29" t="n">
        <v>1</v>
      </c>
      <c r="G273" s="51">
        <f>E273/F273</f>
        <v/>
      </c>
    </row>
    <row r="274" ht="15.75" customHeight="1">
      <c r="A274" s="48" t="inlineStr">
        <is>
          <t>نصب تجهیزات روشنایی/ دیتیل متوسط</t>
        </is>
      </c>
      <c r="B274" s="23" t="inlineStr">
        <is>
          <t>تاسیسات الکتریکال</t>
        </is>
      </c>
      <c r="C274" s="35" t="inlineStr">
        <is>
          <t>اکیپ نصب تجهیزات الکتریکال 1 نفره</t>
        </is>
      </c>
      <c r="D274" s="35" t="inlineStr">
        <is>
          <t>متر مربع زیربنا</t>
        </is>
      </c>
      <c r="E274" s="28" t="n">
        <v>65</v>
      </c>
      <c r="F274" s="29" t="n">
        <v>1</v>
      </c>
      <c r="G274" s="51">
        <f>E274/F274</f>
        <v/>
      </c>
    </row>
    <row r="275" ht="15.75" customHeight="1">
      <c r="A275" s="48" t="inlineStr">
        <is>
          <t>نصب تجهیزات روشنایی/ دیتیل پیچیده</t>
        </is>
      </c>
      <c r="B275" s="23" t="inlineStr">
        <is>
          <t>تاسیسات الکتریکال</t>
        </is>
      </c>
      <c r="C275" s="35" t="inlineStr">
        <is>
          <t>اکیپ نصب تجهیزات الکتریکال 1 نفره</t>
        </is>
      </c>
      <c r="D275" s="35" t="inlineStr">
        <is>
          <t>متر مربع زیربنا</t>
        </is>
      </c>
      <c r="E275" s="28" t="n">
        <v>50</v>
      </c>
      <c r="F275" s="29" t="n">
        <v>1</v>
      </c>
      <c r="G275" s="51">
        <f>E275/F275</f>
        <v/>
      </c>
    </row>
    <row r="276" ht="15.75" customHeight="1">
      <c r="A276" s="48" t="inlineStr">
        <is>
          <t>نصب تجهیزات الکتریکی دیوار/ دیتیل ساده</t>
        </is>
      </c>
      <c r="B276" s="23" t="inlineStr">
        <is>
          <t>تاسیسات الکتریکال</t>
        </is>
      </c>
      <c r="C276" s="35" t="inlineStr">
        <is>
          <t>اکیپ نصب تجهیزات الکتریکال 1 نفره</t>
        </is>
      </c>
      <c r="D276" s="35" t="inlineStr">
        <is>
          <t>متر مربع زیربنا</t>
        </is>
      </c>
      <c r="E276" s="28" t="n">
        <v>100</v>
      </c>
      <c r="F276" s="29" t="n">
        <v>1</v>
      </c>
      <c r="G276" s="51">
        <f>E276/F276</f>
        <v/>
      </c>
    </row>
    <row r="277" ht="15.75" customHeight="1">
      <c r="A277" s="48" t="inlineStr">
        <is>
          <t>نصب تجهیزات الکتریکی دیوار/ دیتیل متوسط</t>
        </is>
      </c>
      <c r="B277" s="23" t="inlineStr">
        <is>
          <t>تاسیسات الکتریکال</t>
        </is>
      </c>
      <c r="C277" s="35" t="inlineStr">
        <is>
          <t>اکیپ نصب تجهیزات الکتریکال 1 نفره</t>
        </is>
      </c>
      <c r="D277" s="35" t="inlineStr">
        <is>
          <t>متر مربع زیربنا</t>
        </is>
      </c>
      <c r="E277" s="28" t="n">
        <v>70</v>
      </c>
      <c r="F277" s="29" t="n">
        <v>1</v>
      </c>
      <c r="G277" s="51">
        <f>E277/F277</f>
        <v/>
      </c>
    </row>
    <row r="278" ht="15.75" customHeight="1">
      <c r="A278" s="48" t="inlineStr">
        <is>
          <t>نصب تجهیزات الکتریکی دیوار/ دیتیل پیچیده</t>
        </is>
      </c>
      <c r="B278" s="23" t="inlineStr">
        <is>
          <t>تاسیسات الکتریکال</t>
        </is>
      </c>
      <c r="C278" s="35" t="inlineStr">
        <is>
          <t>اکیپ نصب تجهیزات الکتریکال 1 نفره</t>
        </is>
      </c>
      <c r="D278" s="35" t="inlineStr">
        <is>
          <t>متر مربع زیربنا</t>
        </is>
      </c>
      <c r="E278" s="28" t="n">
        <v>40</v>
      </c>
      <c r="F278" s="29" t="n">
        <v>1</v>
      </c>
      <c r="G278" s="51">
        <f>E278/F278</f>
        <v/>
      </c>
    </row>
    <row r="279" ht="15.75" customHeight="1">
      <c r="A279" s="48" t="inlineStr">
        <is>
          <t>نصب تجهیزات اعلام حریق/ دیتیل ساده</t>
        </is>
      </c>
      <c r="B279" s="23" t="inlineStr">
        <is>
          <t>تاسیسات الکتریکال</t>
        </is>
      </c>
      <c r="C279" s="35" t="inlineStr">
        <is>
          <t>اکیپ نصب تجهیزات الکتریکال 1 نفره</t>
        </is>
      </c>
      <c r="D279" s="35" t="inlineStr">
        <is>
          <t>متر مربع زیربنا</t>
        </is>
      </c>
      <c r="E279" s="28" t="n">
        <v>150</v>
      </c>
      <c r="F279" s="29" t="n">
        <v>1</v>
      </c>
      <c r="G279" s="51">
        <f>E279/F279</f>
        <v/>
      </c>
    </row>
    <row r="280" ht="15.75" customHeight="1">
      <c r="A280" s="48" t="inlineStr">
        <is>
          <t>نصب تجهیزات اعلام حریق/ دیتیل متوسط</t>
        </is>
      </c>
      <c r="B280" s="23" t="inlineStr">
        <is>
          <t>تاسیسات الکتریکال</t>
        </is>
      </c>
      <c r="C280" s="35" t="inlineStr">
        <is>
          <t>اکیپ نصب تجهیزات الکتریکال 1 نفره</t>
        </is>
      </c>
      <c r="D280" s="35" t="inlineStr">
        <is>
          <t>متر مربع زیربنا</t>
        </is>
      </c>
      <c r="E280" s="28" t="n">
        <v>120</v>
      </c>
      <c r="F280" s="29" t="n">
        <v>1</v>
      </c>
      <c r="G280" s="51">
        <f>E280/F280</f>
        <v/>
      </c>
    </row>
    <row r="281" ht="15.75" customHeight="1">
      <c r="A281" s="48" t="inlineStr">
        <is>
          <t>نصب تجهیزات اعلام حریق/ دیتیل پیچیده</t>
        </is>
      </c>
      <c r="B281" s="23" t="inlineStr">
        <is>
          <t>تاسیسات الکتریکال</t>
        </is>
      </c>
      <c r="C281" s="35" t="inlineStr">
        <is>
          <t>اکیپ نصب تجهیزات الکتریکال 1 نفره</t>
        </is>
      </c>
      <c r="D281" s="35" t="inlineStr">
        <is>
          <t>متر مربع زیربنا</t>
        </is>
      </c>
      <c r="E281" s="28" t="n">
        <v>100</v>
      </c>
      <c r="F281" s="29" t="n">
        <v>1</v>
      </c>
      <c r="G281" s="51">
        <f>E281/F281</f>
        <v/>
      </c>
    </row>
    <row r="282" ht="15.75" customHeight="1">
      <c r="A282" s="48" t="inlineStr">
        <is>
          <t>نصب هواکش سقفی</t>
        </is>
      </c>
      <c r="B282" s="23" t="inlineStr">
        <is>
          <t>تاسیسات الکتریکال</t>
        </is>
      </c>
      <c r="C282" s="35" t="inlineStr">
        <is>
          <t>اکیپ نصب تجهیزات الکتریکال 1 نفره</t>
        </is>
      </c>
      <c r="D282" s="35" t="inlineStr">
        <is>
          <t>تعداد</t>
        </is>
      </c>
      <c r="E282" s="28" t="n">
        <v>7</v>
      </c>
      <c r="F282" s="29" t="n">
        <v>1</v>
      </c>
      <c r="G282" s="51">
        <f>E282/F282</f>
        <v/>
      </c>
    </row>
    <row r="283" ht="15.75" customHeight="1">
      <c r="A283" s="48" t="inlineStr">
        <is>
          <t>نصب دوربین مدار بسته</t>
        </is>
      </c>
      <c r="B283" s="23" t="inlineStr">
        <is>
          <t>تاسیسات الکتریکال</t>
        </is>
      </c>
      <c r="C283" s="35" t="inlineStr">
        <is>
          <t>اکیپ نصب دوربین مداربسته 1 نفره</t>
        </is>
      </c>
      <c r="D283" s="35" t="inlineStr">
        <is>
          <t>تعداد</t>
        </is>
      </c>
      <c r="E283" s="28" t="n">
        <v>4</v>
      </c>
      <c r="F283" s="29" t="n">
        <v>1</v>
      </c>
      <c r="G283" s="51">
        <f>E283/F283</f>
        <v/>
      </c>
    </row>
    <row r="284">
      <c r="A284" s="42" t="inlineStr">
        <is>
          <t>تزئینات</t>
        </is>
      </c>
      <c r="B284" s="23" t="inlineStr">
        <is>
          <t>تزئینات</t>
        </is>
      </c>
      <c r="C284" s="24" t="n"/>
      <c r="D284" s="24" t="n"/>
      <c r="E284" s="25" t="n"/>
      <c r="F284" s="26" t="n"/>
      <c r="G284" s="51" t="n"/>
    </row>
    <row r="285" ht="15.75" customHeight="1">
      <c r="A285" s="48" t="inlineStr">
        <is>
          <t>نصب درب، شیشه و یراق آلات ویترین/ فریم لس</t>
        </is>
      </c>
      <c r="B285" s="23" t="inlineStr">
        <is>
          <t>تزئینات</t>
        </is>
      </c>
      <c r="C285" s="35" t="inlineStr">
        <is>
          <t>اکیپ نصب شیشه و یراق آلات فریم لیس 2 نفره</t>
        </is>
      </c>
      <c r="D285" s="35" t="inlineStr">
        <is>
          <t>متر طول ویترین</t>
        </is>
      </c>
      <c r="E285" s="28" t="n">
        <v>3</v>
      </c>
      <c r="F285" s="29" t="n">
        <v>2</v>
      </c>
      <c r="G285" s="51">
        <f>E285/F285</f>
        <v/>
      </c>
    </row>
    <row r="286" ht="15.75" customHeight="1">
      <c r="A286" s="48" t="inlineStr">
        <is>
          <t>نصب فریم چوبی ویترین</t>
        </is>
      </c>
      <c r="B286" s="23" t="inlineStr">
        <is>
          <t>تزئینات</t>
        </is>
      </c>
      <c r="C286" s="35" t="inlineStr">
        <is>
          <t>اکیپ کارهای چوبی تزئینی 2 نفره</t>
        </is>
      </c>
      <c r="D286" s="35" t="inlineStr">
        <is>
          <t>متر طول ویترین</t>
        </is>
      </c>
      <c r="E286" s="28" t="n">
        <v>4</v>
      </c>
      <c r="F286" s="29" t="n">
        <v>2</v>
      </c>
      <c r="G286" s="51">
        <f>E286/F286</f>
        <v/>
      </c>
    </row>
    <row r="287" ht="15.75" customHeight="1">
      <c r="A287" s="48" t="inlineStr">
        <is>
          <t>نصب قرنیز چوبی/ دیتیل ساده</t>
        </is>
      </c>
      <c r="B287" s="23" t="inlineStr">
        <is>
          <t>تزئینات</t>
        </is>
      </c>
      <c r="C287" s="35" t="inlineStr">
        <is>
          <t>اکیپ کارهای چوبی تزئینی 2 نفره</t>
        </is>
      </c>
      <c r="D287" s="35" t="inlineStr">
        <is>
          <t>متر طول</t>
        </is>
      </c>
      <c r="E287" s="28" t="n">
        <v>65</v>
      </c>
      <c r="F287" s="29" t="n">
        <v>2</v>
      </c>
      <c r="G287" s="51">
        <f>E287/F287</f>
        <v/>
      </c>
    </row>
    <row r="288" ht="15.75" customHeight="1">
      <c r="A288" s="48" t="inlineStr">
        <is>
          <t>نصب قرنیز چوبی/ دیتیل متوسط</t>
        </is>
      </c>
      <c r="B288" s="23" t="inlineStr">
        <is>
          <t>تزئینات</t>
        </is>
      </c>
      <c r="C288" s="35" t="inlineStr">
        <is>
          <t>اکیپ کارهای چوبی تزئینی 2 نفره</t>
        </is>
      </c>
      <c r="D288" s="35" t="inlineStr">
        <is>
          <t>متر طول</t>
        </is>
      </c>
      <c r="E288" s="28" t="n">
        <v>50</v>
      </c>
      <c r="F288" s="29" t="n">
        <v>2</v>
      </c>
      <c r="G288" s="51">
        <f>E288/F288</f>
        <v/>
      </c>
    </row>
    <row r="289" ht="15.75" customHeight="1">
      <c r="A289" s="48" t="inlineStr">
        <is>
          <t>نصب قرنیز چوبی/ دیتیل پیچیده</t>
        </is>
      </c>
      <c r="B289" s="23" t="inlineStr">
        <is>
          <t>تزئینات</t>
        </is>
      </c>
      <c r="C289" s="35" t="inlineStr">
        <is>
          <t>اکیپ کارهای چوبی تزئینی 2 نفره</t>
        </is>
      </c>
      <c r="D289" s="35" t="inlineStr">
        <is>
          <t>متر طول</t>
        </is>
      </c>
      <c r="E289" s="28" t="n">
        <v>30</v>
      </c>
      <c r="F289" s="29" t="n">
        <v>2</v>
      </c>
      <c r="G289" s="51">
        <f>E289/F289</f>
        <v/>
      </c>
    </row>
    <row r="290" ht="15.75" customHeight="1">
      <c r="A290" s="48" t="inlineStr">
        <is>
          <t>نصب لاستیک کنج ستون</t>
        </is>
      </c>
      <c r="B290" s="23" t="inlineStr">
        <is>
          <t>تزئینات</t>
        </is>
      </c>
      <c r="C290" s="35" t="inlineStr">
        <is>
          <t>اکیپ نصب لاستیک کنج ستون 1 نفره</t>
        </is>
      </c>
      <c r="D290" s="35" t="inlineStr">
        <is>
          <t>تعداد کنج</t>
        </is>
      </c>
      <c r="E290" s="28" t="n">
        <v>16</v>
      </c>
      <c r="F290" s="29" t="n">
        <v>1</v>
      </c>
      <c r="G290" s="51">
        <f>E290/F290</f>
        <v/>
      </c>
    </row>
    <row r="291" ht="15.75" customHeight="1">
      <c r="A291" s="48" t="inlineStr">
        <is>
          <t>نصب نرده استیل</t>
        </is>
      </c>
      <c r="B291" s="23" t="inlineStr">
        <is>
          <t>تزئینات</t>
        </is>
      </c>
      <c r="C291" s="35" t="inlineStr">
        <is>
          <t>اکیپ نصب نرده استیل 2 نفره</t>
        </is>
      </c>
      <c r="D291" s="35" t="inlineStr">
        <is>
          <t>متر طول</t>
        </is>
      </c>
      <c r="E291" s="28" t="n">
        <v>12</v>
      </c>
      <c r="F291" s="29" t="n">
        <v>2</v>
      </c>
      <c r="G291" s="51">
        <f>E291/F291</f>
        <v/>
      </c>
    </row>
    <row r="292">
      <c r="A292" s="42" t="inlineStr">
        <is>
          <t>تجهیزات مرکزی مکانیکال و الکتریکال</t>
        </is>
      </c>
      <c r="B292" s="23" t="inlineStr">
        <is>
          <t>تجهیزات مرکزی مکانیکال و الکتریکال</t>
        </is>
      </c>
      <c r="C292" s="24" t="n"/>
      <c r="D292" s="24" t="n"/>
      <c r="E292" s="25" t="n"/>
      <c r="F292" s="26" t="n"/>
      <c r="G292" s="51" t="n"/>
    </row>
    <row r="293" ht="15.75" customHeight="1">
      <c r="A293" s="48" t="inlineStr">
        <is>
          <t>نصب تجهیزات پمپ خانه</t>
        </is>
      </c>
      <c r="B293" s="23" t="inlineStr">
        <is>
          <t>تجهیزات مرکزی مکانیکال و الکتریکال</t>
        </is>
      </c>
      <c r="C293" s="35" t="inlineStr">
        <is>
          <t>اکیپ نصب تجهیزات پمپ خانه 4 نفره</t>
        </is>
      </c>
      <c r="D293" s="35" t="inlineStr">
        <is>
          <t>تعداد</t>
        </is>
      </c>
      <c r="E293" s="28" t="n">
        <v>0.04</v>
      </c>
      <c r="F293" s="29" t="n">
        <v>4</v>
      </c>
      <c r="G293" s="51">
        <f>E293/F293</f>
        <v/>
      </c>
    </row>
    <row r="294" ht="15.75" customHeight="1">
      <c r="A294" s="48" t="inlineStr">
        <is>
          <t>نصب تجهیزات موتورخانه (بویلر و متعلقات)</t>
        </is>
      </c>
      <c r="B294" s="23" t="inlineStr">
        <is>
          <t>تجهیزات مرکزی مکانیکال و الکتریکال</t>
        </is>
      </c>
      <c r="C294" s="35" t="inlineStr">
        <is>
          <t>اکیپ نصب تجهیزات موتورخانه 4 نفره</t>
        </is>
      </c>
      <c r="D294" s="35" t="inlineStr">
        <is>
          <t>تعداد</t>
        </is>
      </c>
      <c r="E294" s="28" t="n">
        <v>0.02222222222222222</v>
      </c>
      <c r="F294" s="29" t="n">
        <v>4</v>
      </c>
      <c r="G294" s="51">
        <f>E294/F294</f>
        <v/>
      </c>
      <c r="I294" s="4" t="n"/>
    </row>
    <row r="295" ht="15.75" customHeight="1">
      <c r="A295" s="48" t="inlineStr">
        <is>
          <t>نصب تجهیزات موتورخانه (چیلر و متعلقات)</t>
        </is>
      </c>
      <c r="B295" s="23" t="inlineStr">
        <is>
          <t>تجهیزات مرکزی مکانیکال و الکتریکال</t>
        </is>
      </c>
      <c r="C295" s="35" t="inlineStr">
        <is>
          <t>اکیپ نصب تجهیزات موتورخانه 4 نفره</t>
        </is>
      </c>
      <c r="D295" s="35" t="inlineStr">
        <is>
          <t>تعداد</t>
        </is>
      </c>
      <c r="E295" s="28" t="n">
        <v>0.01666666666666667</v>
      </c>
      <c r="F295" s="29" t="n">
        <v>4</v>
      </c>
      <c r="G295" s="51">
        <f>E295/F295</f>
        <v/>
      </c>
      <c r="I295" s="4" t="n"/>
    </row>
    <row r="296" ht="15.75" customHeight="1">
      <c r="A296" s="48" t="inlineStr">
        <is>
          <t>نصب تجهیزات موتورخانه (چیلر، بویلر و متعلقات)</t>
        </is>
      </c>
      <c r="B296" s="23" t="inlineStr">
        <is>
          <t>تجهیزات مرکزی مکانیکال و الکتریکال</t>
        </is>
      </c>
      <c r="C296" s="35" t="inlineStr">
        <is>
          <t>اکیپ نصب تجهیزات موتورخانه 4 نفره</t>
        </is>
      </c>
      <c r="D296" s="35" t="inlineStr">
        <is>
          <t>تعداد</t>
        </is>
      </c>
      <c r="E296" s="28" t="n">
        <v>0.01111111111111111</v>
      </c>
      <c r="F296" s="29" t="n">
        <v>4</v>
      </c>
      <c r="G296" s="51">
        <f>E296/F296</f>
        <v/>
      </c>
    </row>
    <row r="297" ht="15.75" customHeight="1">
      <c r="A297" s="48" t="inlineStr">
        <is>
          <t>نصب تجهیزات تصفیه خانه استخر</t>
        </is>
      </c>
      <c r="B297" s="23" t="inlineStr">
        <is>
          <t>تجهیزات مرکزی مکانیکال و الکتریکال</t>
        </is>
      </c>
      <c r="C297" s="35" t="inlineStr">
        <is>
          <t>اکیپ نصب تجهیزات استخر 2 نفره</t>
        </is>
      </c>
      <c r="D297" s="35" t="inlineStr">
        <is>
          <t>تعداد</t>
        </is>
      </c>
      <c r="E297" s="28" t="n">
        <v>0.022</v>
      </c>
      <c r="F297" s="29" t="n">
        <v>2</v>
      </c>
      <c r="G297" s="51">
        <f>E297/F297</f>
        <v/>
      </c>
    </row>
    <row r="298" ht="15.75" customHeight="1">
      <c r="A298" s="48" t="inlineStr">
        <is>
          <t>نصب اگزاست فن</t>
        </is>
      </c>
      <c r="B298" s="23" t="inlineStr">
        <is>
          <t>تجهیزات مرکزی مکانیکال و الکتریکال</t>
        </is>
      </c>
      <c r="C298" s="35" t="inlineStr">
        <is>
          <t>اکیپ نصب اگزاست فن 2 نفره</t>
        </is>
      </c>
      <c r="D298" s="35" t="inlineStr">
        <is>
          <t>تعداد</t>
        </is>
      </c>
      <c r="E298" s="28" t="n">
        <v>1</v>
      </c>
      <c r="F298" s="29" t="n">
        <v>2</v>
      </c>
      <c r="G298" s="51">
        <f>E298/F298</f>
        <v/>
      </c>
    </row>
    <row r="299" ht="15.75" customHeight="1">
      <c r="A299" s="48" t="inlineStr">
        <is>
          <t>نصب دیزل ژنراتور</t>
        </is>
      </c>
      <c r="B299" s="23" t="inlineStr">
        <is>
          <t>تجهیزات مرکزی مکانیکال و الکتریکال</t>
        </is>
      </c>
      <c r="C299" s="35" t="inlineStr">
        <is>
          <t>اکیپ نصب دیزل ژنراتور 2 نفره</t>
        </is>
      </c>
      <c r="D299" s="35" t="inlineStr">
        <is>
          <t>تعداد</t>
        </is>
      </c>
      <c r="E299" s="28" t="n">
        <v>0.2</v>
      </c>
      <c r="F299" s="29" t="n">
        <v>2</v>
      </c>
      <c r="G299" s="51">
        <f>E299/F299</f>
        <v/>
      </c>
    </row>
    <row r="300" ht="15.75" customHeight="1">
      <c r="A300" s="47" t="inlineStr">
        <is>
          <t>نصب برج خنک کننده</t>
        </is>
      </c>
      <c r="B300" s="23" t="inlineStr">
        <is>
          <t>تجهیزات مرکزی مکانیکال و الکتریکال</t>
        </is>
      </c>
      <c r="C300" s="34" t="inlineStr">
        <is>
          <t>اکیپ نصب برج خنک کننده 2 نفره</t>
        </is>
      </c>
      <c r="D300" s="35" t="inlineStr">
        <is>
          <t>تعداد</t>
        </is>
      </c>
      <c r="E300" s="28" t="n">
        <v>0.4</v>
      </c>
      <c r="F300" s="29" t="n">
        <v>2</v>
      </c>
      <c r="G300" s="51">
        <f>E300/F300</f>
        <v/>
      </c>
    </row>
    <row r="301" ht="15.75" customHeight="1">
      <c r="A301" s="47" t="inlineStr">
        <is>
          <t>نصب منبع انبساط</t>
        </is>
      </c>
      <c r="B301" s="23" t="inlineStr">
        <is>
          <t>تجهیزات مرکزی مکانیکال و الکتریکال</t>
        </is>
      </c>
      <c r="C301" s="34" t="inlineStr">
        <is>
          <t>اکیپ نصب منبع انبساط 2 نفره</t>
        </is>
      </c>
      <c r="D301" s="35" t="inlineStr">
        <is>
          <t>تعداد</t>
        </is>
      </c>
      <c r="E301" s="28" t="n">
        <v>0.3</v>
      </c>
      <c r="F301" s="29" t="n">
        <v>2</v>
      </c>
      <c r="G301" s="51">
        <f>E301/F301</f>
        <v/>
      </c>
    </row>
    <row r="302">
      <c r="A302" s="42" t="inlineStr">
        <is>
          <t>داربست</t>
        </is>
      </c>
      <c r="B302" s="23" t="inlineStr">
        <is>
          <t>داربست</t>
        </is>
      </c>
      <c r="C302" s="24" t="n"/>
      <c r="D302" s="24" t="n"/>
      <c r="E302" s="25" t="n"/>
      <c r="F302" s="26" t="n"/>
      <c r="G302" s="51" t="n"/>
    </row>
    <row r="303" ht="15.75" customHeight="1">
      <c r="A303" s="48" t="inlineStr">
        <is>
          <t>اجرای داربست چاله آسانسور</t>
        </is>
      </c>
      <c r="B303" s="23" t="inlineStr">
        <is>
          <t>داربست</t>
        </is>
      </c>
      <c r="C303" s="35" t="inlineStr">
        <is>
          <t>اکیپ داربست 2 نفره</t>
        </is>
      </c>
      <c r="D303" s="35" t="inlineStr">
        <is>
          <t>تعداد طبقه</t>
        </is>
      </c>
      <c r="E303" s="28" t="n">
        <v>2</v>
      </c>
      <c r="F303" s="29" t="n">
        <v>2</v>
      </c>
      <c r="G303" s="51">
        <f>E303/F303</f>
        <v/>
      </c>
    </row>
    <row r="304" ht="15.75" customHeight="1">
      <c r="A304" s="48" t="inlineStr">
        <is>
          <t>جمع کردن داربست چاله آسانسور</t>
        </is>
      </c>
      <c r="B304" s="23" t="inlineStr">
        <is>
          <t>داربست</t>
        </is>
      </c>
      <c r="C304" s="35" t="inlineStr">
        <is>
          <t>اکیپ داربست 2 نفره</t>
        </is>
      </c>
      <c r="D304" s="35" t="inlineStr">
        <is>
          <t>تعداد طبقه</t>
        </is>
      </c>
      <c r="E304" s="28" t="n">
        <v>5</v>
      </c>
      <c r="F304" s="29" t="n">
        <v>2</v>
      </c>
      <c r="G304" s="51">
        <f>E304/F304</f>
        <v/>
      </c>
    </row>
    <row r="305">
      <c r="A305" s="42" t="inlineStr">
        <is>
          <t>آسانسور</t>
        </is>
      </c>
      <c r="B305" s="23" t="inlineStr">
        <is>
          <t>آسانسور</t>
        </is>
      </c>
      <c r="C305" s="24" t="n"/>
      <c r="D305" s="24" t="n"/>
      <c r="E305" s="25" t="n"/>
      <c r="F305" s="26" t="n"/>
      <c r="G305" s="51" t="n"/>
    </row>
    <row r="306" ht="15.75" customHeight="1">
      <c r="A306" s="48" t="inlineStr">
        <is>
          <t>اجرای کلاف آسانسور</t>
        </is>
      </c>
      <c r="B306" s="23" t="inlineStr">
        <is>
          <t>آسانسور</t>
        </is>
      </c>
      <c r="C306" s="35" t="inlineStr">
        <is>
          <t>اکیپ جوشکاری 2 نفره</t>
        </is>
      </c>
      <c r="D306" s="35" t="inlineStr">
        <is>
          <t>تعداد طبقه</t>
        </is>
      </c>
      <c r="E306" s="28" t="n">
        <v>1</v>
      </c>
      <c r="F306" s="29" t="n">
        <v>2</v>
      </c>
      <c r="G306" s="51" t="n">
        <v>1</v>
      </c>
    </row>
    <row r="307" ht="15.75" customHeight="1">
      <c r="A307" s="48" t="inlineStr">
        <is>
          <t>ریل گذاری آسانسور</t>
        </is>
      </c>
      <c r="B307" s="23" t="inlineStr">
        <is>
          <t>آسانسور</t>
        </is>
      </c>
      <c r="C307" s="35" t="inlineStr">
        <is>
          <t>اکیپ نصب و راه اندازی آسانسور 3 نفره</t>
        </is>
      </c>
      <c r="D307" s="35" t="inlineStr">
        <is>
          <t>تعداد طبقه</t>
        </is>
      </c>
      <c r="E307" s="28" t="n">
        <v>1.8</v>
      </c>
      <c r="F307" s="29" t="n">
        <v>3</v>
      </c>
      <c r="G307" s="51">
        <f>E307/F307</f>
        <v/>
      </c>
    </row>
    <row r="308" ht="15.75" customHeight="1">
      <c r="A308" s="48" t="inlineStr">
        <is>
          <t>نصب فریم درب آسانسور</t>
        </is>
      </c>
      <c r="B308" s="23" t="inlineStr">
        <is>
          <t>آسانسور</t>
        </is>
      </c>
      <c r="C308" s="35" t="inlineStr">
        <is>
          <t>اکیپ نصب و راه اندازی آسانسور 3 نفره</t>
        </is>
      </c>
      <c r="D308" s="35" t="inlineStr">
        <is>
          <t>تعداد</t>
        </is>
      </c>
      <c r="E308" s="28" t="n">
        <v>3.5</v>
      </c>
      <c r="F308" s="29" t="n">
        <v>3</v>
      </c>
      <c r="G308" s="51">
        <f>E308/F308</f>
        <v/>
      </c>
    </row>
    <row r="309" ht="15.75" customHeight="1">
      <c r="A309" s="48" t="inlineStr">
        <is>
          <t>نصب تجهیزات الکترومکانیکال آسانسور</t>
        </is>
      </c>
      <c r="B309" s="23" t="inlineStr">
        <is>
          <t>آسانسور</t>
        </is>
      </c>
      <c r="C309" s="35" t="inlineStr">
        <is>
          <t>اکیپ نصب و راه اندازی آسانسور 3 نفره</t>
        </is>
      </c>
      <c r="D309" s="35" t="inlineStr">
        <is>
          <t>تعداد</t>
        </is>
      </c>
      <c r="E309" s="28" t="n">
        <v>1</v>
      </c>
      <c r="F309" s="29" t="n">
        <v>3</v>
      </c>
      <c r="G309" s="51" t="n">
        <v>0</v>
      </c>
    </row>
    <row r="310" ht="15.75" customHeight="1">
      <c r="A310" s="48" t="inlineStr">
        <is>
          <t>نصب کابین آسانسور</t>
        </is>
      </c>
      <c r="B310" s="23" t="inlineStr">
        <is>
          <t>آسانسور</t>
        </is>
      </c>
      <c r="C310" s="35" t="inlineStr">
        <is>
          <t>اکیپ نصب و راه اندازی آسانسور 3 نفره</t>
        </is>
      </c>
      <c r="D310" s="35" t="inlineStr">
        <is>
          <t>تعداد</t>
        </is>
      </c>
      <c r="E310" s="28" t="n">
        <v>1</v>
      </c>
      <c r="F310" s="29" t="n">
        <v>3</v>
      </c>
      <c r="G310" s="51" t="n">
        <v>0</v>
      </c>
    </row>
    <row r="311" ht="15.75" customHeight="1">
      <c r="A311" s="48" t="inlineStr">
        <is>
          <t>نصب درب آسانسور</t>
        </is>
      </c>
      <c r="B311" s="23" t="inlineStr">
        <is>
          <t>آسانسور</t>
        </is>
      </c>
      <c r="C311" s="35" t="inlineStr">
        <is>
          <t>اکیپ نصب و راه اندازی آسانسور 3 نفره</t>
        </is>
      </c>
      <c r="D311" s="35" t="inlineStr">
        <is>
          <t>تعداد</t>
        </is>
      </c>
      <c r="E311" s="28" t="n">
        <v>2</v>
      </c>
      <c r="F311" s="29" t="n">
        <v>3</v>
      </c>
      <c r="G311" s="51" t="n">
        <v>1</v>
      </c>
    </row>
    <row r="312" ht="15.75" customHeight="1">
      <c r="A312" s="48" t="inlineStr">
        <is>
          <t>راه اندازی آسانسور</t>
        </is>
      </c>
      <c r="B312" s="23" t="inlineStr">
        <is>
          <t>آسانسور</t>
        </is>
      </c>
      <c r="C312" s="35" t="inlineStr">
        <is>
          <t>اکیپ نصب و راه اندازی آسانسور 3 نفره</t>
        </is>
      </c>
      <c r="D312" s="35" t="inlineStr">
        <is>
          <t>تعداد</t>
        </is>
      </c>
      <c r="E312" s="28" t="n">
        <v>1</v>
      </c>
      <c r="F312" s="29" t="n">
        <v>3</v>
      </c>
      <c r="G312" s="51" t="n">
        <v>0</v>
      </c>
    </row>
    <row r="313" ht="15.75" customHeight="1">
      <c r="A313" s="48" t="inlineStr">
        <is>
          <t>اجرای شاسی فلزی آسانسور پانورما</t>
        </is>
      </c>
      <c r="B313" s="23" t="inlineStr">
        <is>
          <t>آسانسور</t>
        </is>
      </c>
      <c r="C313" s="35" t="inlineStr">
        <is>
          <t>اکیپ جوشکاری 2 نفره</t>
        </is>
      </c>
      <c r="D313" s="35" t="inlineStr">
        <is>
          <t>تعداد طبقه</t>
        </is>
      </c>
      <c r="E313" s="28" t="n">
        <v>0.3333333333333333</v>
      </c>
      <c r="F313" s="29" t="n">
        <v>2</v>
      </c>
      <c r="G313" s="51">
        <f>E313/F313</f>
        <v/>
      </c>
    </row>
    <row r="314" ht="15.75" customHeight="1">
      <c r="A314" s="48" t="inlineStr">
        <is>
          <t>ریل گذاری آسانسور آسانسور پانورما</t>
        </is>
      </c>
      <c r="B314" s="23" t="inlineStr">
        <is>
          <t>آسانسور</t>
        </is>
      </c>
      <c r="C314" s="35" t="inlineStr">
        <is>
          <t>اکیپ نصب و راه اندازی آسانسور 3 نفره</t>
        </is>
      </c>
      <c r="D314" s="35" t="inlineStr">
        <is>
          <t>تعداد طبقه</t>
        </is>
      </c>
      <c r="E314" s="28" t="n">
        <v>1</v>
      </c>
      <c r="F314" s="29" t="n">
        <v>3</v>
      </c>
      <c r="G314" s="51">
        <f>E314/F314</f>
        <v/>
      </c>
    </row>
    <row r="315" ht="15.75" customHeight="1">
      <c r="A315" s="48" t="inlineStr">
        <is>
          <t>نصب فریم درب آسانسور پانورما</t>
        </is>
      </c>
      <c r="B315" s="23" t="inlineStr">
        <is>
          <t>آسانسور</t>
        </is>
      </c>
      <c r="C315" s="35" t="inlineStr">
        <is>
          <t>اکیپ نصب و راه اندازی آسانسور 3 نفره</t>
        </is>
      </c>
      <c r="D315" s="35" t="inlineStr">
        <is>
          <t>تعداد</t>
        </is>
      </c>
      <c r="E315" s="28" t="n">
        <v>1.5</v>
      </c>
      <c r="F315" s="29" t="n">
        <v>3</v>
      </c>
      <c r="G315" s="51">
        <f>E315/F315</f>
        <v/>
      </c>
    </row>
    <row r="316" ht="15.75" customHeight="1">
      <c r="A316" s="48" t="inlineStr">
        <is>
          <t>نصب تجهیزات الکترومکانیکال آسانسور پانورما</t>
        </is>
      </c>
      <c r="B316" s="23" t="inlineStr">
        <is>
          <t>آسانسور</t>
        </is>
      </c>
      <c r="C316" s="35" t="inlineStr">
        <is>
          <t>اکیپ نصب و راه اندازی آسانسور 3 نفره</t>
        </is>
      </c>
      <c r="D316" s="35" t="inlineStr">
        <is>
          <t>تعداد</t>
        </is>
      </c>
      <c r="E316" s="28" t="n">
        <v>0.125</v>
      </c>
      <c r="F316" s="29" t="n">
        <v>3</v>
      </c>
      <c r="G316" s="51">
        <f>E316/F316</f>
        <v/>
      </c>
    </row>
    <row r="317" ht="15.75" customHeight="1">
      <c r="A317" s="48" t="inlineStr">
        <is>
          <t>نصب کابین آسانسور پانورما</t>
        </is>
      </c>
      <c r="B317" s="23" t="inlineStr">
        <is>
          <t>آسانسور</t>
        </is>
      </c>
      <c r="C317" s="35" t="inlineStr">
        <is>
          <t>اکیپ نصب و راه اندازی آسانسور 3 نفره</t>
        </is>
      </c>
      <c r="D317" s="35" t="inlineStr">
        <is>
          <t>تعداد</t>
        </is>
      </c>
      <c r="E317" s="28" t="n">
        <v>0.2</v>
      </c>
      <c r="F317" s="29" t="n">
        <v>3</v>
      </c>
      <c r="G317" s="51">
        <f>E317/F317</f>
        <v/>
      </c>
    </row>
    <row r="318" ht="15.75" customHeight="1">
      <c r="A318" s="48" t="inlineStr">
        <is>
          <t>نصب درب آسانسور پانورما</t>
        </is>
      </c>
      <c r="B318" s="23" t="inlineStr">
        <is>
          <t>آسانسور</t>
        </is>
      </c>
      <c r="C318" s="35" t="inlineStr">
        <is>
          <t>اکیپ نصب و راه اندازی آسانسور 3 نفره</t>
        </is>
      </c>
      <c r="D318" s="35" t="inlineStr">
        <is>
          <t>تعداد</t>
        </is>
      </c>
      <c r="E318" s="28" t="n">
        <v>1</v>
      </c>
      <c r="F318" s="29" t="n">
        <v>3</v>
      </c>
      <c r="G318" s="51">
        <f>E318/F318</f>
        <v/>
      </c>
    </row>
    <row r="319" ht="15.75" customHeight="1">
      <c r="A319" s="48" t="inlineStr">
        <is>
          <t>راه اندازی آسانسور پانورما</t>
        </is>
      </c>
      <c r="B319" s="23" t="inlineStr">
        <is>
          <t>آسانسور</t>
        </is>
      </c>
      <c r="C319" s="35" t="inlineStr">
        <is>
          <t>اکیپ نصب و راه اندازی آسانسور 3 نفره</t>
        </is>
      </c>
      <c r="D319" s="35" t="inlineStr">
        <is>
          <t>تعداد</t>
        </is>
      </c>
      <c r="E319" s="28" t="n">
        <v>3</v>
      </c>
      <c r="F319" s="29" t="n">
        <v>3</v>
      </c>
      <c r="G319" s="51">
        <f>E319/F319</f>
        <v/>
      </c>
    </row>
    <row r="320">
      <c r="A320" s="42" t="inlineStr">
        <is>
          <t>پله برقی</t>
        </is>
      </c>
      <c r="B320" s="23" t="inlineStr">
        <is>
          <t>پله برقی</t>
        </is>
      </c>
      <c r="C320" s="24" t="n"/>
      <c r="D320" s="24" t="n"/>
      <c r="E320" s="25" t="n"/>
      <c r="F320" s="26" t="n"/>
      <c r="G320" s="51" t="n"/>
    </row>
    <row r="321" ht="15.75" customHeight="1">
      <c r="A321" s="48" t="inlineStr">
        <is>
          <t>اجرای شاسی فلزی پله برقی</t>
        </is>
      </c>
      <c r="B321" s="23" t="inlineStr">
        <is>
          <t>پله برقی</t>
        </is>
      </c>
      <c r="C321" s="35" t="inlineStr">
        <is>
          <t>اکیپ جوشکاری 2 نفره</t>
        </is>
      </c>
      <c r="D321" s="35" t="inlineStr">
        <is>
          <t>تعداد</t>
        </is>
      </c>
      <c r="E321" s="28" t="n">
        <v>0.1</v>
      </c>
      <c r="F321" s="29" t="n">
        <v>2</v>
      </c>
      <c r="G321" s="51">
        <f>E321/F321</f>
        <v/>
      </c>
    </row>
    <row r="322" ht="15.75" customHeight="1">
      <c r="A322" s="48" t="inlineStr">
        <is>
          <t>نصب پله برقی</t>
        </is>
      </c>
      <c r="B322" s="23" t="inlineStr">
        <is>
          <t>پله برقی</t>
        </is>
      </c>
      <c r="C322" s="35" t="inlineStr">
        <is>
          <t>اکیپ نصب پله برقی 2 نفره</t>
        </is>
      </c>
      <c r="D322" s="35" t="inlineStr">
        <is>
          <t>تعداد</t>
        </is>
      </c>
      <c r="E322" s="28" t="n">
        <v>1</v>
      </c>
      <c r="F322" s="29" t="n">
        <v>2</v>
      </c>
      <c r="G322" s="51" t="n">
        <v>1</v>
      </c>
    </row>
    <row r="323" ht="15.75" customHeight="1">
      <c r="A323" s="48" t="inlineStr">
        <is>
          <t>نصب تجهیزات الکترومکانیکال پله برقی</t>
        </is>
      </c>
      <c r="B323" s="23" t="inlineStr">
        <is>
          <t>پله برقی</t>
        </is>
      </c>
      <c r="C323" s="35" t="inlineStr">
        <is>
          <t>اکیپ نصب پله برقی 2 نفره</t>
        </is>
      </c>
      <c r="D323" s="35" t="inlineStr">
        <is>
          <t>تعداد</t>
        </is>
      </c>
      <c r="E323" s="28" t="n">
        <v>1</v>
      </c>
      <c r="F323" s="29" t="n">
        <v>2</v>
      </c>
      <c r="G323" s="51" t="n">
        <v>1</v>
      </c>
    </row>
    <row r="324">
      <c r="A324" s="42" t="inlineStr">
        <is>
          <t>تزئینات</t>
        </is>
      </c>
      <c r="B324" s="23" t="inlineStr">
        <is>
          <t>تزئینات</t>
        </is>
      </c>
      <c r="C324" s="24" t="n"/>
      <c r="D324" s="24" t="n"/>
      <c r="E324" s="25" t="n"/>
      <c r="F324" s="26" t="n"/>
      <c r="G324" s="51" t="n"/>
    </row>
    <row r="325" ht="15.75" customHeight="1">
      <c r="A325" s="45" t="inlineStr">
        <is>
          <t xml:space="preserve">نصب کاغذ دیواری </t>
        </is>
      </c>
      <c r="B325" s="23" t="inlineStr">
        <is>
          <t>تزئینات</t>
        </is>
      </c>
      <c r="C325" s="36" t="inlineStr">
        <is>
          <t>اکیپ نصب کاغذ دیواری 2 نفره</t>
        </is>
      </c>
      <c r="D325" s="35" t="inlineStr">
        <is>
          <t>متر مربع</t>
        </is>
      </c>
      <c r="E325" s="28" t="n">
        <v>80</v>
      </c>
      <c r="F325" s="29" t="n">
        <v>2</v>
      </c>
      <c r="G325" s="51">
        <f>E325/F325</f>
        <v/>
      </c>
    </row>
    <row r="326" ht="15.75" customHeight="1">
      <c r="A326" s="45" t="inlineStr">
        <is>
          <t>پتینه کاری</t>
        </is>
      </c>
      <c r="B326" s="23" t="inlineStr">
        <is>
          <t>تزئینات</t>
        </is>
      </c>
      <c r="C326" s="36" t="inlineStr">
        <is>
          <t>اکیپ پتینه کاری 1 نفره</t>
        </is>
      </c>
      <c r="D326" s="35" t="inlineStr">
        <is>
          <t>مترمربع</t>
        </is>
      </c>
      <c r="E326" s="28" t="n">
        <v>25</v>
      </c>
      <c r="F326" s="29" t="n">
        <v>1</v>
      </c>
      <c r="G326" s="51">
        <f>E326/F326</f>
        <v/>
      </c>
    </row>
    <row r="327" ht="15.75" customHeight="1">
      <c r="A327" s="45" t="inlineStr">
        <is>
          <t>نصب لمینیت</t>
        </is>
      </c>
      <c r="B327" s="23" t="inlineStr">
        <is>
          <t>تزئینات</t>
        </is>
      </c>
      <c r="C327" s="36" t="inlineStr">
        <is>
          <t>اکیپ نصب پارکت و لیمنیت</t>
        </is>
      </c>
      <c r="D327" s="35" t="inlineStr">
        <is>
          <t>متر مربع</t>
        </is>
      </c>
      <c r="E327" s="28" t="n">
        <v>70</v>
      </c>
      <c r="F327" s="29" t="n">
        <v>1</v>
      </c>
      <c r="G327" s="51">
        <f>E327/F327</f>
        <v/>
      </c>
    </row>
    <row r="328" ht="15.75" customHeight="1">
      <c r="A328" s="45" t="inlineStr">
        <is>
          <t>نصب کمد دیواری چوبی</t>
        </is>
      </c>
      <c r="B328" s="23" t="inlineStr">
        <is>
          <t>تزئینات</t>
        </is>
      </c>
      <c r="C328" s="36" t="inlineStr">
        <is>
          <t>اکیپ کارهای چوبی 2 نفره</t>
        </is>
      </c>
      <c r="D328" s="35" t="inlineStr">
        <is>
          <t>متر طول</t>
        </is>
      </c>
      <c r="E328" s="28" t="n">
        <v>2</v>
      </c>
      <c r="F328" s="29" t="n">
        <v>2</v>
      </c>
      <c r="G328" s="51">
        <f>E328/F328</f>
        <v/>
      </c>
    </row>
    <row r="329" ht="15.75" customHeight="1">
      <c r="A329" s="45" t="inlineStr">
        <is>
          <t>نقاشی کمد دیواری چوبی و نصب یراق آلات</t>
        </is>
      </c>
      <c r="B329" s="23" t="inlineStr">
        <is>
          <t>تزئینات</t>
        </is>
      </c>
      <c r="C329" s="36" t="inlineStr">
        <is>
          <t>اکیپ نقاشی (سطوح چوبی) 1 نفره</t>
        </is>
      </c>
      <c r="D329" s="35" t="inlineStr">
        <is>
          <t>متر طول</t>
        </is>
      </c>
      <c r="E329" s="28" t="n">
        <v>2</v>
      </c>
      <c r="F329" s="29" t="n">
        <v>1</v>
      </c>
      <c r="G329" s="51">
        <f>E329/F329</f>
        <v/>
      </c>
    </row>
    <row r="330" ht="15.75" customHeight="1">
      <c r="A330" s="47" t="inlineStr">
        <is>
          <t>کارهای چوبی سونای خشک</t>
        </is>
      </c>
      <c r="B330" s="23" t="inlineStr">
        <is>
          <t>تزئینات</t>
        </is>
      </c>
      <c r="C330" s="36" t="inlineStr">
        <is>
          <t>اکیپ کارهای چوبی سونا 2 نفره</t>
        </is>
      </c>
      <c r="D330" s="35" t="inlineStr">
        <is>
          <t>تعداد</t>
        </is>
      </c>
      <c r="E330" s="28" t="n">
        <v>0.3</v>
      </c>
      <c r="F330" s="29" t="n">
        <v>2</v>
      </c>
      <c r="G330" s="51">
        <f>E330/F330</f>
        <v/>
      </c>
    </row>
    <row r="331" ht="15.75" customHeight="1">
      <c r="A331" s="47" t="inlineStr">
        <is>
          <t>نصب تجهیزات سونای خشک</t>
        </is>
      </c>
      <c r="B331" s="23" t="inlineStr">
        <is>
          <t>تزئینات</t>
        </is>
      </c>
      <c r="C331" s="36" t="inlineStr">
        <is>
          <t>اکیپ نصب تجهیزات سونا 1 نفره</t>
        </is>
      </c>
      <c r="D331" s="35" t="inlineStr">
        <is>
          <t>تعداد</t>
        </is>
      </c>
      <c r="E331" s="28" t="n">
        <v>1</v>
      </c>
      <c r="F331" s="29" t="n">
        <v>1</v>
      </c>
      <c r="G331" s="51">
        <f>E331/F331</f>
        <v/>
      </c>
    </row>
    <row r="332" ht="15.75" customHeight="1">
      <c r="A332" s="47" t="inlineStr">
        <is>
          <t>نصب دمنده و تجهیزات سونای بخار</t>
        </is>
      </c>
      <c r="B332" s="23" t="inlineStr">
        <is>
          <t>تزئینات</t>
        </is>
      </c>
      <c r="C332" s="36" t="inlineStr">
        <is>
          <t>اکیپ نصب تجهیزات سونا 1 نفره</t>
        </is>
      </c>
      <c r="D332" s="35" t="inlineStr">
        <is>
          <t>تعداد</t>
        </is>
      </c>
      <c r="E332" s="28" t="n">
        <v>1</v>
      </c>
      <c r="F332" s="29" t="n">
        <v>1</v>
      </c>
      <c r="G332" s="51">
        <f>E332/F332</f>
        <v/>
      </c>
    </row>
    <row r="333" ht="15.75" customHeight="1">
      <c r="A333" s="45" t="inlineStr">
        <is>
          <t>اجرای فلاورباکس چوبی</t>
        </is>
      </c>
      <c r="B333" s="23" t="inlineStr">
        <is>
          <t>تزئینات</t>
        </is>
      </c>
      <c r="C333" s="36" t="inlineStr">
        <is>
          <t>اکیپ کارهای چوبی 2 نفره</t>
        </is>
      </c>
      <c r="D333" s="35" t="inlineStr">
        <is>
          <t>تعداد</t>
        </is>
      </c>
      <c r="E333" s="28" t="n">
        <v>1</v>
      </c>
      <c r="F333" s="29" t="n">
        <v>2</v>
      </c>
      <c r="G333" s="51" t="n">
        <v>1</v>
      </c>
    </row>
    <row r="334" ht="15.75" customHeight="1">
      <c r="A334" s="45" t="inlineStr">
        <is>
          <t>-</t>
        </is>
      </c>
      <c r="B334" s="23" t="inlineStr">
        <is>
          <t>تزئینات</t>
        </is>
      </c>
      <c r="C334" s="36" t="inlineStr">
        <is>
          <t>-</t>
        </is>
      </c>
      <c r="D334" s="35" t="inlineStr">
        <is>
          <t>-</t>
        </is>
      </c>
      <c r="E334" s="28" t="inlineStr">
        <is>
          <t>-</t>
        </is>
      </c>
      <c r="F334" s="29" t="inlineStr">
        <is>
          <t>-</t>
        </is>
      </c>
      <c r="G334" s="51" t="n"/>
    </row>
    <row r="335">
      <c r="A335" s="42" t="inlineStr">
        <is>
          <t>متفرقه</t>
        </is>
      </c>
      <c r="B335" s="23" t="inlineStr">
        <is>
          <t>متفرقه</t>
        </is>
      </c>
      <c r="C335" s="24" t="n"/>
      <c r="D335" s="24" t="n"/>
      <c r="E335" s="25" t="n"/>
      <c r="F335" s="26" t="n"/>
      <c r="G335" s="50" t="n"/>
    </row>
    <row r="336" ht="15.75" customHeight="1">
      <c r="A336" s="49" t="inlineStr">
        <is>
          <t>اجرای بتن کف (زیرسازی اپوکسی)</t>
        </is>
      </c>
      <c r="B336" s="23" t="inlineStr">
        <is>
          <t>متفرقه</t>
        </is>
      </c>
      <c r="C336" s="37" t="inlineStr">
        <is>
          <t>اکیپ اپوکسی کار 2نفره</t>
        </is>
      </c>
      <c r="D336" s="37" t="inlineStr">
        <is>
          <t>متر مربع</t>
        </is>
      </c>
      <c r="E336" s="28" t="n">
        <v>90</v>
      </c>
      <c r="F336" s="29" t="n">
        <v>2</v>
      </c>
      <c r="G336" s="52" t="n">
        <v>45</v>
      </c>
      <c r="H336" s="6" t="n"/>
    </row>
    <row r="337" ht="15.75" customHeight="1">
      <c r="A337" s="49" t="inlineStr">
        <is>
          <t>اجرای اپوکسی</t>
        </is>
      </c>
      <c r="B337" s="23" t="inlineStr">
        <is>
          <t>متفرقه</t>
        </is>
      </c>
      <c r="C337" s="37" t="inlineStr">
        <is>
          <t>اکیپ اپوکسی کار 2نفره</t>
        </is>
      </c>
      <c r="D337" s="37" t="inlineStr">
        <is>
          <t>متر مربع</t>
        </is>
      </c>
      <c r="E337" s="28" t="n">
        <v>270</v>
      </c>
      <c r="F337" s="29" t="n">
        <v>2</v>
      </c>
      <c r="G337" s="52" t="n">
        <v>135</v>
      </c>
      <c r="H337" s="6" t="n"/>
    </row>
    <row r="338" ht="15" customHeight="1">
      <c r="A338" s="48" t="inlineStr">
        <is>
          <t xml:space="preserve">نصب بورد مرکزی اعلام حریق </t>
        </is>
      </c>
      <c r="B338" s="23" t="inlineStr">
        <is>
          <t>متفرقه</t>
        </is>
      </c>
      <c r="C338" s="35" t="inlineStr">
        <is>
          <t>اکیپ نصب برد اعلام حریق 1 نفره</t>
        </is>
      </c>
      <c r="D338" s="35" t="inlineStr">
        <is>
          <t>تعداد</t>
        </is>
      </c>
      <c r="E338" s="28" t="n">
        <v>1</v>
      </c>
      <c r="F338" s="29" t="n">
        <v>1</v>
      </c>
      <c r="G338" s="50" t="n">
        <v>1</v>
      </c>
    </row>
    <row r="339" ht="15.75" customHeight="1">
      <c r="A339" s="48" t="inlineStr">
        <is>
          <t>نصب و عایق دودکش موتورخانه</t>
        </is>
      </c>
      <c r="B339" s="23" t="inlineStr">
        <is>
          <t>متفرقه</t>
        </is>
      </c>
      <c r="C339" s="35" t="inlineStr">
        <is>
          <t>اکیپ نصب و عایق دودکش 2 نفره</t>
        </is>
      </c>
      <c r="D339" s="35" t="inlineStr">
        <is>
          <t>تعداد</t>
        </is>
      </c>
      <c r="E339" s="28" t="n">
        <v>0.3</v>
      </c>
      <c r="F339" s="29" t="n">
        <v>2</v>
      </c>
      <c r="G339" s="50" t="n">
        <v>0.15</v>
      </c>
    </row>
    <row r="340" ht="15.75" customHeight="1">
      <c r="A340" s="48" t="inlineStr">
        <is>
          <t>نصب پست برق</t>
        </is>
      </c>
      <c r="B340" s="23" t="inlineStr">
        <is>
          <t>متفرقه</t>
        </is>
      </c>
      <c r="C340" s="35" t="inlineStr">
        <is>
          <t>اکیپ نصب تابلو برق 1 نفره</t>
        </is>
      </c>
      <c r="D340" s="35" t="inlineStr">
        <is>
          <t>تعداد</t>
        </is>
      </c>
      <c r="E340" s="28" t="n">
        <v>1</v>
      </c>
      <c r="F340" s="29" t="n">
        <v>1</v>
      </c>
      <c r="G340" s="50" t="n">
        <v>1</v>
      </c>
    </row>
    <row r="341" ht="15.75" customHeight="1">
      <c r="A341" s="47" t="inlineStr">
        <is>
          <t>اجرای میز بار استخر</t>
        </is>
      </c>
      <c r="B341" s="23" t="inlineStr">
        <is>
          <t>متفرقه</t>
        </is>
      </c>
      <c r="C341" s="35" t="inlineStr">
        <is>
          <t>اکیپ اجرای میز بار 2 نفره</t>
        </is>
      </c>
      <c r="D341" s="35" t="inlineStr">
        <is>
          <t>تعداد</t>
        </is>
      </c>
      <c r="E341" s="28" t="n">
        <v>0.2</v>
      </c>
      <c r="F341" s="29" t="n">
        <v>1</v>
      </c>
      <c r="G341" s="50" t="n">
        <v>0.2</v>
      </c>
    </row>
    <row r="342" ht="15.75" customHeight="1">
      <c r="A342" s="47" t="inlineStr">
        <is>
          <t>گریل گود نور فلزی</t>
        </is>
      </c>
      <c r="B342" s="23" t="inlineStr">
        <is>
          <t>متفرقه</t>
        </is>
      </c>
      <c r="C342" s="35" t="inlineStr">
        <is>
          <t>اکیپ جوشکاری 1 نفره</t>
        </is>
      </c>
      <c r="D342" s="35" t="inlineStr">
        <is>
          <t>تعداد</t>
        </is>
      </c>
      <c r="E342" s="28" t="n">
        <v>3</v>
      </c>
      <c r="F342" s="29" t="n">
        <v>1</v>
      </c>
      <c r="G342" s="50" t="n">
        <v>3</v>
      </c>
    </row>
    <row r="343" ht="15.75" customHeight="1">
      <c r="A343" s="47" t="inlineStr">
        <is>
          <t>نصب کارهای چوبی دیوار</t>
        </is>
      </c>
      <c r="B343" s="23" t="inlineStr">
        <is>
          <t>متفرقه</t>
        </is>
      </c>
      <c r="C343" s="35" t="inlineStr">
        <is>
          <t>اکیپ نصب کارهای چوبی دیوار 2نفره</t>
        </is>
      </c>
      <c r="D343" s="35" t="inlineStr">
        <is>
          <t>متر مربع</t>
        </is>
      </c>
      <c r="E343" s="28" t="n">
        <v>25</v>
      </c>
      <c r="F343" s="29" t="n">
        <v>2</v>
      </c>
      <c r="G343" s="50" t="n">
        <v>13</v>
      </c>
    </row>
    <row r="344" ht="15.75" customHeight="1">
      <c r="A344" s="47" t="inlineStr">
        <is>
          <t>نصب کنتورهای برق</t>
        </is>
      </c>
      <c r="B344" s="23" t="inlineStr">
        <is>
          <t>متفرقه</t>
        </is>
      </c>
      <c r="C344" s="35" t="inlineStr">
        <is>
          <t>اکیپ نصب کنتورهای برق 1 نفره</t>
        </is>
      </c>
      <c r="D344" s="35" t="inlineStr">
        <is>
          <t>تعداد</t>
        </is>
      </c>
      <c r="E344" s="19" t="n">
        <v>2</v>
      </c>
      <c r="F344" s="21" t="n">
        <v>1</v>
      </c>
      <c r="G344" s="50" t="n">
        <v>2</v>
      </c>
    </row>
    <row r="345" ht="15.75" customHeight="1">
      <c r="A345" s="47" t="inlineStr">
        <is>
          <t>نصب جت فن</t>
        </is>
      </c>
      <c r="B345" s="23" t="inlineStr">
        <is>
          <t>متفرقه</t>
        </is>
      </c>
      <c r="C345" s="35" t="inlineStr">
        <is>
          <t>اکیپ نصب جت فن 2 نفره</t>
        </is>
      </c>
      <c r="D345" s="35" t="inlineStr">
        <is>
          <t>تعداد</t>
        </is>
      </c>
      <c r="E345" s="19" t="n">
        <v>1</v>
      </c>
      <c r="F345" s="21" t="n">
        <v>2</v>
      </c>
      <c r="G345" s="50" t="n">
        <v>1</v>
      </c>
    </row>
    <row r="346" ht="15.75" customHeight="1">
      <c r="A346" s="47" t="inlineStr">
        <is>
          <t>نصب دریچه گاتر استخر</t>
        </is>
      </c>
      <c r="B346" s="23" t="inlineStr">
        <is>
          <t>متفرقه</t>
        </is>
      </c>
      <c r="C346" s="35" t="inlineStr">
        <is>
          <t>اکیپ نصب دریچه گاتر استخر</t>
        </is>
      </c>
      <c r="D346" s="35" t="inlineStr">
        <is>
          <t>متر طول</t>
        </is>
      </c>
      <c r="E346" s="19" t="n">
        <v>30</v>
      </c>
      <c r="F346" s="21" t="n">
        <v>1</v>
      </c>
      <c r="G346" s="50" t="n">
        <v>30</v>
      </c>
    </row>
    <row r="347" ht="15.75" customHeight="1">
      <c r="A347" s="45" t="inlineStr">
        <is>
          <t>زیرسازی ترموود</t>
        </is>
      </c>
      <c r="B347" s="23" t="inlineStr">
        <is>
          <t>متفرقه</t>
        </is>
      </c>
      <c r="C347" s="35" t="inlineStr">
        <is>
          <t>اکیپ اجرای ترمووود 2 نفره</t>
        </is>
      </c>
      <c r="D347" s="35" t="inlineStr">
        <is>
          <t>متر مربع</t>
        </is>
      </c>
      <c r="E347" s="19" t="n">
        <v>20</v>
      </c>
      <c r="F347" s="21" t="n">
        <v>2</v>
      </c>
      <c r="G347" s="50" t="n">
        <v>10</v>
      </c>
    </row>
    <row r="348" ht="15.75" customHeight="1">
      <c r="A348" s="45" t="inlineStr">
        <is>
          <t>اجرای ترمووود</t>
        </is>
      </c>
      <c r="B348" s="23" t="inlineStr">
        <is>
          <t>متفرقه</t>
        </is>
      </c>
      <c r="C348" s="35" t="inlineStr">
        <is>
          <t>اکیپ اجرای ترمووود 2 نفره</t>
        </is>
      </c>
      <c r="D348" s="35" t="inlineStr">
        <is>
          <t>متر مربع</t>
        </is>
      </c>
      <c r="E348" s="19" t="n">
        <v>35</v>
      </c>
      <c r="F348" s="21" t="n">
        <v>2</v>
      </c>
      <c r="G348" s="50" t="n">
        <v>18</v>
      </c>
    </row>
    <row r="349" ht="15.75" customHeight="1">
      <c r="A349" s="47" t="inlineStr">
        <is>
          <t>اجرای اتاق پست برق</t>
        </is>
      </c>
      <c r="B349" s="23" t="inlineStr">
        <is>
          <t>متفرقه</t>
        </is>
      </c>
      <c r="C349" s="35" t="inlineStr">
        <is>
          <t>اکیپ اجرای اتاق پست برق 2 نفره</t>
        </is>
      </c>
      <c r="D349" s="35" t="inlineStr">
        <is>
          <t>آیتم خاص</t>
        </is>
      </c>
      <c r="E349" s="28" t="n">
        <v>0.11</v>
      </c>
      <c r="F349" s="21" t="n">
        <v>2</v>
      </c>
      <c r="G349" s="50" t="n">
        <v>0.06</v>
      </c>
    </row>
    <row r="350" ht="15.75" customHeight="1">
      <c r="A350" s="47" t="inlineStr">
        <is>
          <t>اجرای فضای سبز</t>
        </is>
      </c>
      <c r="B350" s="23" t="inlineStr">
        <is>
          <t>متفرقه</t>
        </is>
      </c>
      <c r="C350" s="35" t="inlineStr">
        <is>
          <t>اکیپ اجرای فضای سبز 1 نفره</t>
        </is>
      </c>
      <c r="D350" s="35" t="inlineStr">
        <is>
          <t>آیتم خاص</t>
        </is>
      </c>
      <c r="E350" s="28" t="n">
        <v>1</v>
      </c>
      <c r="F350" s="21" t="n">
        <v>1</v>
      </c>
      <c r="G350" s="50" t="n">
        <v>1</v>
      </c>
    </row>
    <row r="351" ht="15.75" customHeight="1">
      <c r="A351" s="47" t="inlineStr">
        <is>
          <t>عملیات خاکی محوطه</t>
        </is>
      </c>
      <c r="B351" s="23" t="inlineStr">
        <is>
          <t>متفرقه</t>
        </is>
      </c>
      <c r="C351" s="35" t="inlineStr">
        <is>
          <t>اکیپ عملیات خاکی محوطه 2 نفره</t>
        </is>
      </c>
      <c r="D351" s="35" t="inlineStr">
        <is>
          <t>آیتم خاص</t>
        </is>
      </c>
      <c r="E351" s="28" t="n">
        <v>1</v>
      </c>
      <c r="F351" s="21" t="n">
        <v>2</v>
      </c>
      <c r="G351" s="50" t="n">
        <v>1</v>
      </c>
    </row>
    <row r="352" ht="15.75" customHeight="1">
      <c r="A352" s="47" t="inlineStr">
        <is>
          <t>اجرای گچ و خاک/ فضای متوسط</t>
        </is>
      </c>
      <c r="B352" s="23" t="inlineStr">
        <is>
          <t>متفرقه</t>
        </is>
      </c>
      <c r="C352" s="35" t="inlineStr">
        <is>
          <t>اکیپ گچ و خاک 3 نفره</t>
        </is>
      </c>
      <c r="D352" s="35" t="inlineStr">
        <is>
          <t>متر مربع</t>
        </is>
      </c>
      <c r="E352" s="28" t="n">
        <v>50</v>
      </c>
      <c r="F352" s="21" t="n">
        <v>3</v>
      </c>
      <c r="G352" s="50" t="n">
        <v>16.67</v>
      </c>
    </row>
    <row r="353" ht="15.75" customHeight="1">
      <c r="A353" s="47" t="inlineStr">
        <is>
          <t>اجرای گچ و خاک/ فضای کوچک</t>
        </is>
      </c>
      <c r="B353" s="23" t="inlineStr">
        <is>
          <t>متفرقه</t>
        </is>
      </c>
      <c r="C353" s="35" t="inlineStr">
        <is>
          <t>اکیپ گچ و خاک 3 نفره</t>
        </is>
      </c>
      <c r="D353" s="35" t="inlineStr">
        <is>
          <t>متر مربع</t>
        </is>
      </c>
      <c r="E353" s="28" t="n">
        <v>35</v>
      </c>
      <c r="F353" s="21" t="n">
        <v>3</v>
      </c>
      <c r="G353" s="50" t="n">
        <v>11.67</v>
      </c>
    </row>
    <row r="354" ht="15.75" customHeight="1">
      <c r="A354" s="45" t="inlineStr">
        <is>
          <t>گچ بری ستون ها</t>
        </is>
      </c>
      <c r="B354" s="23" t="inlineStr">
        <is>
          <t>متفرقه</t>
        </is>
      </c>
      <c r="C354" s="13" t="inlineStr">
        <is>
          <t>اکیپ گچ بری 2 نفره</t>
        </is>
      </c>
      <c r="D354" s="35" t="inlineStr">
        <is>
          <t>آیتم خاص</t>
        </is>
      </c>
      <c r="E354" s="28" t="n">
        <v>0.2</v>
      </c>
      <c r="F354" s="21" t="n">
        <v>2</v>
      </c>
      <c r="G354" s="52" t="n">
        <v>0.1</v>
      </c>
      <c r="H354" s="6" t="n"/>
    </row>
    <row r="355" ht="15.75" customHeight="1">
      <c r="A355" s="45" t="inlineStr">
        <is>
          <t>اجرای آبنما</t>
        </is>
      </c>
      <c r="B355" s="23" t="inlineStr">
        <is>
          <t>متفرقه</t>
        </is>
      </c>
      <c r="C355" s="13" t="inlineStr">
        <is>
          <t>اکیپ اجرای آبنما 3 نفره</t>
        </is>
      </c>
      <c r="D355" s="35" t="inlineStr">
        <is>
          <t>آیتم خاص</t>
        </is>
      </c>
      <c r="E355" s="28" t="n">
        <v>0.09</v>
      </c>
      <c r="F355" s="21" t="n">
        <v>3</v>
      </c>
      <c r="G355" s="52" t="n">
        <v>0.03</v>
      </c>
      <c r="H355" s="6" t="n"/>
    </row>
    <row r="356" ht="15.75" customHeight="1">
      <c r="A356" s="45" t="inlineStr">
        <is>
          <t>اجرای میز  پذیرش چوبی</t>
        </is>
      </c>
      <c r="B356" s="23" t="inlineStr">
        <is>
          <t>متفرقه</t>
        </is>
      </c>
      <c r="C356" s="13" t="inlineStr">
        <is>
          <t>اکیپ کارهای چوبی 2 نفره</t>
        </is>
      </c>
      <c r="D356" s="35" t="inlineStr">
        <is>
          <t>آیتم خاص</t>
        </is>
      </c>
      <c r="E356" s="28" t="n">
        <v>1</v>
      </c>
      <c r="F356" s="21" t="n">
        <v>2</v>
      </c>
      <c r="G356" s="52" t="n">
        <v>1</v>
      </c>
      <c r="H356" s="6" t="n"/>
    </row>
    <row r="357" ht="15.75" customHeight="1">
      <c r="A357" s="45" t="inlineStr">
        <is>
          <t>نصب جک معلول</t>
        </is>
      </c>
      <c r="B357" s="23" t="inlineStr">
        <is>
          <t>متفرقه</t>
        </is>
      </c>
      <c r="C357" s="13" t="inlineStr">
        <is>
          <t>اکیپ نصب جک معلول 2 نفره</t>
        </is>
      </c>
      <c r="D357" s="35" t="inlineStr">
        <is>
          <t>آیتم خاص</t>
        </is>
      </c>
      <c r="E357" s="28" t="n">
        <v>1</v>
      </c>
      <c r="F357" s="21" t="n">
        <v>2</v>
      </c>
      <c r="G357" s="52" t="n">
        <v>1</v>
      </c>
      <c r="H357" s="6" t="n"/>
    </row>
    <row r="358" ht="15.75" customHeight="1">
      <c r="A358" s="45" t="inlineStr">
        <is>
          <t>نصب شومینه</t>
        </is>
      </c>
      <c r="B358" s="23" t="inlineStr">
        <is>
          <t>متفرقه</t>
        </is>
      </c>
      <c r="C358" s="13" t="inlineStr">
        <is>
          <t>اکیپ نصب شومینه 1 نفره</t>
        </is>
      </c>
      <c r="D358" s="35" t="inlineStr">
        <is>
          <t>تعداد</t>
        </is>
      </c>
      <c r="E358" s="28" t="n">
        <v>3</v>
      </c>
      <c r="F358" s="21" t="n">
        <v>1</v>
      </c>
      <c r="G358" s="52" t="n">
        <v>3</v>
      </c>
      <c r="H358" s="6" t="n"/>
    </row>
    <row r="359" ht="15.75" customHeight="1">
      <c r="A359" s="45" t="inlineStr">
        <is>
          <t>نصب کابینت روشویی</t>
        </is>
      </c>
      <c r="B359" s="23" t="inlineStr">
        <is>
          <t>متفرقه</t>
        </is>
      </c>
      <c r="C359" s="13" t="inlineStr">
        <is>
          <t>اکیپ نصب کابینت روشویی 1 نفره</t>
        </is>
      </c>
      <c r="D359" s="35" t="inlineStr">
        <is>
          <t>تعداد</t>
        </is>
      </c>
      <c r="E359" s="28" t="n">
        <v>4</v>
      </c>
      <c r="F359" s="21" t="n">
        <v>1</v>
      </c>
      <c r="G359" s="52" t="n">
        <v>4</v>
      </c>
      <c r="H359" s="6" t="n"/>
    </row>
    <row r="360" ht="15.75" customHeight="1">
      <c r="A360" s="48" t="inlineStr">
        <is>
          <t xml:space="preserve"> اجرای فلاشینگ</t>
        </is>
      </c>
      <c r="B360" s="23" t="inlineStr">
        <is>
          <t>متفرقه</t>
        </is>
      </c>
      <c r="C360" s="13" t="inlineStr">
        <is>
          <t>اکیپ اجرای فلاشینگ 2 نفره</t>
        </is>
      </c>
      <c r="D360" s="35" t="inlineStr">
        <is>
          <t>آیتم خاص</t>
        </is>
      </c>
      <c r="E360" s="28" t="n">
        <v>1</v>
      </c>
      <c r="F360" s="21" t="n">
        <v>2</v>
      </c>
      <c r="G360" s="52" t="n">
        <v>1</v>
      </c>
      <c r="H360" s="6" t="n"/>
    </row>
    <row r="361" ht="15.75" customHeight="1">
      <c r="A361" s="47" t="inlineStr">
        <is>
          <t>نصب پله استخر</t>
        </is>
      </c>
      <c r="B361" s="23" t="inlineStr">
        <is>
          <t>متفرقه</t>
        </is>
      </c>
      <c r="C361" s="13" t="inlineStr">
        <is>
          <t>اکیپ نصب پله استخر 1 نفره</t>
        </is>
      </c>
      <c r="D361" s="35" t="inlineStr">
        <is>
          <t>آیتم خاص</t>
        </is>
      </c>
      <c r="E361" s="28" t="n">
        <v>1</v>
      </c>
      <c r="F361" s="21" t="n">
        <v>1</v>
      </c>
      <c r="G361" s="52" t="n">
        <v>1</v>
      </c>
      <c r="H361" s="6" t="n"/>
    </row>
    <row r="362" ht="15.75" customHeight="1">
      <c r="A362" s="54" t="inlineStr">
        <is>
          <t>نصب گریل بام</t>
        </is>
      </c>
      <c r="B362" s="55" t="inlineStr">
        <is>
          <t>متفرقه</t>
        </is>
      </c>
      <c r="C362" s="57" t="inlineStr">
        <is>
          <t>اکیپ جوشکاری 2 نفره</t>
        </is>
      </c>
      <c r="D362" s="57" t="inlineStr">
        <is>
          <t>آیتم خاص</t>
        </is>
      </c>
      <c r="E362" s="58" t="n">
        <v>1</v>
      </c>
      <c r="F362" s="59" t="n">
        <v>2</v>
      </c>
      <c r="G362" s="60" t="n">
        <v>1</v>
      </c>
    </row>
    <row r="363">
      <c r="F363" s="8" t="n"/>
      <c r="H363" s="5" t="n"/>
      <c r="I363" s="6" t="n"/>
    </row>
    <row r="364">
      <c r="F364" s="8" t="n"/>
      <c r="H364" s="5" t="n"/>
      <c r="I364" s="6" t="n"/>
    </row>
    <row r="365">
      <c r="F365" s="8" t="n"/>
      <c r="H365" s="5" t="n"/>
      <c r="I365" s="6" t="n"/>
    </row>
    <row r="366">
      <c r="F366" s="8" t="n"/>
      <c r="H366" s="5" t="n"/>
      <c r="I366" s="6" t="n"/>
    </row>
    <row r="367">
      <c r="F367" s="8" t="n"/>
      <c r="H367" s="5" t="n"/>
      <c r="I367" s="6" t="n"/>
    </row>
    <row r="368">
      <c r="F368" s="8" t="n"/>
      <c r="H368" s="5" t="n"/>
      <c r="I368" s="6" t="n"/>
    </row>
    <row r="369">
      <c r="F369" s="8" t="n"/>
      <c r="H369" s="5" t="n"/>
      <c r="I369" s="6" t="n"/>
    </row>
    <row r="370">
      <c r="F370" s="8" t="n"/>
      <c r="H370" s="5" t="n"/>
      <c r="I370" s="6" t="n"/>
    </row>
    <row r="371">
      <c r="F371" s="8" t="n"/>
      <c r="H371" s="5" t="n"/>
      <c r="I371" s="6" t="n"/>
    </row>
    <row r="372">
      <c r="F372" s="8" t="n"/>
      <c r="H372" s="5" t="n"/>
      <c r="I372" s="6" t="n"/>
    </row>
    <row r="373">
      <c r="F373" s="8" t="n"/>
      <c r="H373" s="5" t="n"/>
      <c r="I373" s="6" t="n"/>
    </row>
    <row r="374">
      <c r="F374" s="8" t="n"/>
      <c r="H374" s="5" t="n"/>
      <c r="I374" s="6" t="n"/>
    </row>
    <row r="375">
      <c r="F375" s="8" t="n"/>
      <c r="H375" s="5" t="n"/>
      <c r="I375" s="6" t="n"/>
    </row>
    <row r="376">
      <c r="F376" s="8" t="n"/>
      <c r="H376" s="5" t="n"/>
      <c r="I376" s="6" t="n"/>
    </row>
    <row r="377">
      <c r="F377" s="8" t="n"/>
      <c r="H377" s="5" t="n"/>
      <c r="I377" s="6" t="n"/>
    </row>
    <row r="378">
      <c r="F378" s="8" t="n"/>
      <c r="H378" s="5" t="n"/>
      <c r="I378" s="6" t="n"/>
    </row>
    <row r="379">
      <c r="F379" s="8" t="n"/>
      <c r="H379" s="5" t="n"/>
      <c r="I379" s="6" t="n"/>
    </row>
    <row r="380">
      <c r="F380" s="8" t="n"/>
      <c r="H380" s="5" t="n"/>
      <c r="I380" s="6" t="n"/>
    </row>
    <row r="381">
      <c r="F381" s="8" t="n"/>
      <c r="H381" s="5" t="n"/>
      <c r="I381" s="6" t="n"/>
    </row>
    <row r="382">
      <c r="F382" s="8" t="n"/>
      <c r="H382" s="5" t="n"/>
      <c r="I382" s="6" t="n"/>
    </row>
  </sheetData>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Windows User</dc:creator>
  <dcterms:created xsi:type="dcterms:W3CDTF">2022-10-18T08:13:33Z</dcterms:created>
  <dcterms:modified xsi:type="dcterms:W3CDTF">2026-08-29T05:53:40Z</dcterms:modified>
  <cp:lastModifiedBy>سمانه روحانیان</cp:lastModifiedBy>
</cp:coreProperties>
</file>